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P&amp;L" sheetId="1" state="visible" r:id="rId1"/>
    <sheet name="Kitchen P&amp;L" sheetId="2" state="visible" r:id="rId2"/>
    <sheet name="Item x Kitchen" sheetId="3" state="visible" r:id="rId3"/>
    <sheet name="Budget variance" sheetId="4" state="visible" r:id="rId4"/>
    <sheet name="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#,##0.00;(#,##0.0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2514E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color rgb="00008000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6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4" fillId="0" borderId="0" pivotButton="0" quotePrefix="0" xfId="0"/>
    <xf numFmtId="164" fontId="5" fillId="0" borderId="0" pivotButton="0" quotePrefix="0" xfId="0"/>
    <xf numFmtId="0" fontId="3" fillId="2" borderId="0" pivotButton="0" quotePrefix="0" xfId="0"/>
    <xf numFmtId="166" fontId="4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FruitBlend24 company P&amp;L, THB, Sep 2025 to Aug 2026</t>
        </is>
      </c>
    </row>
    <row r="2">
      <c r="A2" s="2" t="inlineStr">
        <is>
          <t>Green = sum of the 4 kitchens on 'Kitchen P&amp;L'. Black = formulas. Main gross profit = GP-C (after commission, fruit, packaging + labor and waste).</t>
        </is>
      </c>
    </row>
    <row r="4">
      <c r="A4" s="3" t="inlineStr">
        <is>
          <t>Line</t>
        </is>
      </c>
      <c r="B4" s="4" t="inlineStr">
        <is>
          <t>2025-09</t>
        </is>
      </c>
      <c r="C4" s="4" t="inlineStr">
        <is>
          <t>2025-10</t>
        </is>
      </c>
      <c r="D4" s="4" t="inlineStr">
        <is>
          <t>2025-11</t>
        </is>
      </c>
      <c r="E4" s="4" t="inlineStr">
        <is>
          <t>2025-12</t>
        </is>
      </c>
      <c r="F4" s="4" t="inlineStr">
        <is>
          <t>2026-01</t>
        </is>
      </c>
      <c r="G4" s="4" t="inlineStr">
        <is>
          <t>2026-02</t>
        </is>
      </c>
      <c r="H4" s="4" t="inlineStr">
        <is>
          <t>2026-03</t>
        </is>
      </c>
      <c r="I4" s="4" t="inlineStr">
        <is>
          <t>2026-04</t>
        </is>
      </c>
      <c r="J4" s="4" t="inlineStr">
        <is>
          <t>2026-05</t>
        </is>
      </c>
      <c r="K4" s="4" t="inlineStr">
        <is>
          <t>2026-06</t>
        </is>
      </c>
      <c r="L4" s="4" t="inlineStr">
        <is>
          <t>2026-07</t>
        </is>
      </c>
      <c r="M4" s="4" t="inlineStr">
        <is>
          <t>2026-08</t>
        </is>
      </c>
      <c r="N4" s="4" t="inlineStr">
        <is>
          <t>FY</t>
        </is>
      </c>
    </row>
    <row r="5">
      <c r="A5" s="5" t="inlineStr">
        <is>
          <t>Cups sold</t>
        </is>
      </c>
      <c r="B5" s="6">
        <f>'Kitchen P&amp;L'!B6+'Kitchen P&amp;L'!B28+'Kitchen P&amp;L'!B50+'Kitchen P&amp;L'!B72</f>
        <v/>
      </c>
      <c r="C5" s="6">
        <f>'Kitchen P&amp;L'!C6+'Kitchen P&amp;L'!C28+'Kitchen P&amp;L'!C50+'Kitchen P&amp;L'!C72</f>
        <v/>
      </c>
      <c r="D5" s="6">
        <f>'Kitchen P&amp;L'!D6+'Kitchen P&amp;L'!D28+'Kitchen P&amp;L'!D50+'Kitchen P&amp;L'!D72</f>
        <v/>
      </c>
      <c r="E5" s="6">
        <f>'Kitchen P&amp;L'!E6+'Kitchen P&amp;L'!E28+'Kitchen P&amp;L'!E50+'Kitchen P&amp;L'!E72</f>
        <v/>
      </c>
      <c r="F5" s="6">
        <f>'Kitchen P&amp;L'!F6+'Kitchen P&amp;L'!F28+'Kitchen P&amp;L'!F50+'Kitchen P&amp;L'!F72</f>
        <v/>
      </c>
      <c r="G5" s="6">
        <f>'Kitchen P&amp;L'!G6+'Kitchen P&amp;L'!G28+'Kitchen P&amp;L'!G50+'Kitchen P&amp;L'!G72</f>
        <v/>
      </c>
      <c r="H5" s="6">
        <f>'Kitchen P&amp;L'!H6+'Kitchen P&amp;L'!H28+'Kitchen P&amp;L'!H50+'Kitchen P&amp;L'!H72</f>
        <v/>
      </c>
      <c r="I5" s="6">
        <f>'Kitchen P&amp;L'!I6+'Kitchen P&amp;L'!I28+'Kitchen P&amp;L'!I50+'Kitchen P&amp;L'!I72</f>
        <v/>
      </c>
      <c r="J5" s="6">
        <f>'Kitchen P&amp;L'!J6+'Kitchen P&amp;L'!J28+'Kitchen P&amp;L'!J50+'Kitchen P&amp;L'!J72</f>
        <v/>
      </c>
      <c r="K5" s="6">
        <f>'Kitchen P&amp;L'!K6+'Kitchen P&amp;L'!K28+'Kitchen P&amp;L'!K50+'Kitchen P&amp;L'!K72</f>
        <v/>
      </c>
      <c r="L5" s="6">
        <f>'Kitchen P&amp;L'!L6+'Kitchen P&amp;L'!L28+'Kitchen P&amp;L'!L50+'Kitchen P&amp;L'!L72</f>
        <v/>
      </c>
      <c r="M5" s="6">
        <f>'Kitchen P&amp;L'!M6+'Kitchen P&amp;L'!M28+'Kitchen P&amp;L'!M50+'Kitchen P&amp;L'!M72</f>
        <v/>
      </c>
      <c r="N5" s="7">
        <f>SUM(B5:M5)</f>
        <v/>
      </c>
    </row>
    <row r="6">
      <c r="A6" s="5" t="inlineStr">
        <is>
          <t>List revenue</t>
        </is>
      </c>
      <c r="B6" s="6">
        <f>'Kitchen P&amp;L'!B7+'Kitchen P&amp;L'!B29+'Kitchen P&amp;L'!B51+'Kitchen P&amp;L'!B73</f>
        <v/>
      </c>
      <c r="C6" s="6">
        <f>'Kitchen P&amp;L'!C7+'Kitchen P&amp;L'!C29+'Kitchen P&amp;L'!C51+'Kitchen P&amp;L'!C73</f>
        <v/>
      </c>
      <c r="D6" s="6">
        <f>'Kitchen P&amp;L'!D7+'Kitchen P&amp;L'!D29+'Kitchen P&amp;L'!D51+'Kitchen P&amp;L'!D73</f>
        <v/>
      </c>
      <c r="E6" s="6">
        <f>'Kitchen P&amp;L'!E7+'Kitchen P&amp;L'!E29+'Kitchen P&amp;L'!E51+'Kitchen P&amp;L'!E73</f>
        <v/>
      </c>
      <c r="F6" s="6">
        <f>'Kitchen P&amp;L'!F7+'Kitchen P&amp;L'!F29+'Kitchen P&amp;L'!F51+'Kitchen P&amp;L'!F73</f>
        <v/>
      </c>
      <c r="G6" s="6">
        <f>'Kitchen P&amp;L'!G7+'Kitchen P&amp;L'!G29+'Kitchen P&amp;L'!G51+'Kitchen P&amp;L'!G73</f>
        <v/>
      </c>
      <c r="H6" s="6">
        <f>'Kitchen P&amp;L'!H7+'Kitchen P&amp;L'!H29+'Kitchen P&amp;L'!H51+'Kitchen P&amp;L'!H73</f>
        <v/>
      </c>
      <c r="I6" s="6">
        <f>'Kitchen P&amp;L'!I7+'Kitchen P&amp;L'!I29+'Kitchen P&amp;L'!I51+'Kitchen P&amp;L'!I73</f>
        <v/>
      </c>
      <c r="J6" s="6">
        <f>'Kitchen P&amp;L'!J7+'Kitchen P&amp;L'!J29+'Kitchen P&amp;L'!J51+'Kitchen P&amp;L'!J73</f>
        <v/>
      </c>
      <c r="K6" s="6">
        <f>'Kitchen P&amp;L'!K7+'Kitchen P&amp;L'!K29+'Kitchen P&amp;L'!K51+'Kitchen P&amp;L'!K73</f>
        <v/>
      </c>
      <c r="L6" s="6">
        <f>'Kitchen P&amp;L'!L7+'Kitchen P&amp;L'!L29+'Kitchen P&amp;L'!L51+'Kitchen P&amp;L'!L73</f>
        <v/>
      </c>
      <c r="M6" s="6">
        <f>'Kitchen P&amp;L'!M7+'Kitchen P&amp;L'!M29+'Kitchen P&amp;L'!M51+'Kitchen P&amp;L'!M73</f>
        <v/>
      </c>
      <c r="N6" s="7">
        <f>SUM(B6:M6)</f>
        <v/>
      </c>
    </row>
    <row r="7">
      <c r="A7" s="5" t="inlineStr">
        <is>
          <t>Discount</t>
        </is>
      </c>
      <c r="B7" s="6">
        <f>'Kitchen P&amp;L'!B8+'Kitchen P&amp;L'!B30+'Kitchen P&amp;L'!B52+'Kitchen P&amp;L'!B74</f>
        <v/>
      </c>
      <c r="C7" s="6">
        <f>'Kitchen P&amp;L'!C8+'Kitchen P&amp;L'!C30+'Kitchen P&amp;L'!C52+'Kitchen P&amp;L'!C74</f>
        <v/>
      </c>
      <c r="D7" s="6">
        <f>'Kitchen P&amp;L'!D8+'Kitchen P&amp;L'!D30+'Kitchen P&amp;L'!D52+'Kitchen P&amp;L'!D74</f>
        <v/>
      </c>
      <c r="E7" s="6">
        <f>'Kitchen P&amp;L'!E8+'Kitchen P&amp;L'!E30+'Kitchen P&amp;L'!E52+'Kitchen P&amp;L'!E74</f>
        <v/>
      </c>
      <c r="F7" s="6">
        <f>'Kitchen P&amp;L'!F8+'Kitchen P&amp;L'!F30+'Kitchen P&amp;L'!F52+'Kitchen P&amp;L'!F74</f>
        <v/>
      </c>
      <c r="G7" s="6">
        <f>'Kitchen P&amp;L'!G8+'Kitchen P&amp;L'!G30+'Kitchen P&amp;L'!G52+'Kitchen P&amp;L'!G74</f>
        <v/>
      </c>
      <c r="H7" s="6">
        <f>'Kitchen P&amp;L'!H8+'Kitchen P&amp;L'!H30+'Kitchen P&amp;L'!H52+'Kitchen P&amp;L'!H74</f>
        <v/>
      </c>
      <c r="I7" s="6">
        <f>'Kitchen P&amp;L'!I8+'Kitchen P&amp;L'!I30+'Kitchen P&amp;L'!I52+'Kitchen P&amp;L'!I74</f>
        <v/>
      </c>
      <c r="J7" s="6">
        <f>'Kitchen P&amp;L'!J8+'Kitchen P&amp;L'!J30+'Kitchen P&amp;L'!J52+'Kitchen P&amp;L'!J74</f>
        <v/>
      </c>
      <c r="K7" s="6">
        <f>'Kitchen P&amp;L'!K8+'Kitchen P&amp;L'!K30+'Kitchen P&amp;L'!K52+'Kitchen P&amp;L'!K74</f>
        <v/>
      </c>
      <c r="L7" s="6">
        <f>'Kitchen P&amp;L'!L8+'Kitchen P&amp;L'!L30+'Kitchen P&amp;L'!L52+'Kitchen P&amp;L'!L74</f>
        <v/>
      </c>
      <c r="M7" s="6">
        <f>'Kitchen P&amp;L'!M8+'Kitchen P&amp;L'!M30+'Kitchen P&amp;L'!M52+'Kitchen P&amp;L'!M74</f>
        <v/>
      </c>
      <c r="N7" s="7">
        <f>SUM(B7:M7)</f>
        <v/>
      </c>
    </row>
    <row r="8">
      <c r="A8" s="8" t="inlineStr">
        <is>
          <t>Gross revenue</t>
        </is>
      </c>
      <c r="B8" s="9">
        <f>B6-B7</f>
        <v/>
      </c>
      <c r="C8" s="9">
        <f>C6-C7</f>
        <v/>
      </c>
      <c r="D8" s="9">
        <f>D6-D7</f>
        <v/>
      </c>
      <c r="E8" s="9">
        <f>E6-E7</f>
        <v/>
      </c>
      <c r="F8" s="9">
        <f>F6-F7</f>
        <v/>
      </c>
      <c r="G8" s="9">
        <f>G6-G7</f>
        <v/>
      </c>
      <c r="H8" s="9">
        <f>H6-H7</f>
        <v/>
      </c>
      <c r="I8" s="9">
        <f>I6-I7</f>
        <v/>
      </c>
      <c r="J8" s="9">
        <f>J6-J7</f>
        <v/>
      </c>
      <c r="K8" s="9">
        <f>K6-K7</f>
        <v/>
      </c>
      <c r="L8" s="9">
        <f>L6-L7</f>
        <v/>
      </c>
      <c r="M8" s="9">
        <f>M6-M7</f>
        <v/>
      </c>
      <c r="N8" s="9">
        <f>N6-N7</f>
        <v/>
      </c>
    </row>
    <row r="9">
      <c r="A9" s="5" t="inlineStr">
        <is>
          <t>Commission</t>
        </is>
      </c>
      <c r="B9" s="6">
        <f>'Kitchen P&amp;L'!B10+'Kitchen P&amp;L'!B32+'Kitchen P&amp;L'!B54+'Kitchen P&amp;L'!B76</f>
        <v/>
      </c>
      <c r="C9" s="6">
        <f>'Kitchen P&amp;L'!C10+'Kitchen P&amp;L'!C32+'Kitchen P&amp;L'!C54+'Kitchen P&amp;L'!C76</f>
        <v/>
      </c>
      <c r="D9" s="6">
        <f>'Kitchen P&amp;L'!D10+'Kitchen P&amp;L'!D32+'Kitchen P&amp;L'!D54+'Kitchen P&amp;L'!D76</f>
        <v/>
      </c>
      <c r="E9" s="6">
        <f>'Kitchen P&amp;L'!E10+'Kitchen P&amp;L'!E32+'Kitchen P&amp;L'!E54+'Kitchen P&amp;L'!E76</f>
        <v/>
      </c>
      <c r="F9" s="6">
        <f>'Kitchen P&amp;L'!F10+'Kitchen P&amp;L'!F32+'Kitchen P&amp;L'!F54+'Kitchen P&amp;L'!F76</f>
        <v/>
      </c>
      <c r="G9" s="6">
        <f>'Kitchen P&amp;L'!G10+'Kitchen P&amp;L'!G32+'Kitchen P&amp;L'!G54+'Kitchen P&amp;L'!G76</f>
        <v/>
      </c>
      <c r="H9" s="6">
        <f>'Kitchen P&amp;L'!H10+'Kitchen P&amp;L'!H32+'Kitchen P&amp;L'!H54+'Kitchen P&amp;L'!H76</f>
        <v/>
      </c>
      <c r="I9" s="6">
        <f>'Kitchen P&amp;L'!I10+'Kitchen P&amp;L'!I32+'Kitchen P&amp;L'!I54+'Kitchen P&amp;L'!I76</f>
        <v/>
      </c>
      <c r="J9" s="6">
        <f>'Kitchen P&amp;L'!J10+'Kitchen P&amp;L'!J32+'Kitchen P&amp;L'!J54+'Kitchen P&amp;L'!J76</f>
        <v/>
      </c>
      <c r="K9" s="6">
        <f>'Kitchen P&amp;L'!K10+'Kitchen P&amp;L'!K32+'Kitchen P&amp;L'!K54+'Kitchen P&amp;L'!K76</f>
        <v/>
      </c>
      <c r="L9" s="6">
        <f>'Kitchen P&amp;L'!L10+'Kitchen P&amp;L'!L32+'Kitchen P&amp;L'!L54+'Kitchen P&amp;L'!L76</f>
        <v/>
      </c>
      <c r="M9" s="6">
        <f>'Kitchen P&amp;L'!M10+'Kitchen P&amp;L'!M32+'Kitchen P&amp;L'!M54+'Kitchen P&amp;L'!M76</f>
        <v/>
      </c>
      <c r="N9" s="7">
        <f>SUM(B9:M9)</f>
        <v/>
      </c>
    </row>
    <row r="10">
      <c r="A10" s="8" t="inlineStr">
        <is>
          <t>Net revenue</t>
        </is>
      </c>
      <c r="B10" s="9">
        <f>B8-B9</f>
        <v/>
      </c>
      <c r="C10" s="9">
        <f>C8-C9</f>
        <v/>
      </c>
      <c r="D10" s="9">
        <f>D8-D9</f>
        <v/>
      </c>
      <c r="E10" s="9">
        <f>E8-E9</f>
        <v/>
      </c>
      <c r="F10" s="9">
        <f>F8-F9</f>
        <v/>
      </c>
      <c r="G10" s="9">
        <f>G8-G9</f>
        <v/>
      </c>
      <c r="H10" s="9">
        <f>H8-H9</f>
        <v/>
      </c>
      <c r="I10" s="9">
        <f>I8-I9</f>
        <v/>
      </c>
      <c r="J10" s="9">
        <f>J8-J9</f>
        <v/>
      </c>
      <c r="K10" s="9">
        <f>K8-K9</f>
        <v/>
      </c>
      <c r="L10" s="9">
        <f>L8-L9</f>
        <v/>
      </c>
      <c r="M10" s="9">
        <f>M8-M9</f>
        <v/>
      </c>
      <c r="N10" s="9">
        <f>N8-N9</f>
        <v/>
      </c>
    </row>
    <row r="11">
      <c r="A11" s="5" t="inlineStr">
        <is>
          <t>Fruit cost</t>
        </is>
      </c>
      <c r="B11" s="6">
        <f>'Kitchen P&amp;L'!B12+'Kitchen P&amp;L'!B34+'Kitchen P&amp;L'!B56+'Kitchen P&amp;L'!B78</f>
        <v/>
      </c>
      <c r="C11" s="6">
        <f>'Kitchen P&amp;L'!C12+'Kitchen P&amp;L'!C34+'Kitchen P&amp;L'!C56+'Kitchen P&amp;L'!C78</f>
        <v/>
      </c>
      <c r="D11" s="6">
        <f>'Kitchen P&amp;L'!D12+'Kitchen P&amp;L'!D34+'Kitchen P&amp;L'!D56+'Kitchen P&amp;L'!D78</f>
        <v/>
      </c>
      <c r="E11" s="6">
        <f>'Kitchen P&amp;L'!E12+'Kitchen P&amp;L'!E34+'Kitchen P&amp;L'!E56+'Kitchen P&amp;L'!E78</f>
        <v/>
      </c>
      <c r="F11" s="6">
        <f>'Kitchen P&amp;L'!F12+'Kitchen P&amp;L'!F34+'Kitchen P&amp;L'!F56+'Kitchen P&amp;L'!F78</f>
        <v/>
      </c>
      <c r="G11" s="6">
        <f>'Kitchen P&amp;L'!G12+'Kitchen P&amp;L'!G34+'Kitchen P&amp;L'!G56+'Kitchen P&amp;L'!G78</f>
        <v/>
      </c>
      <c r="H11" s="6">
        <f>'Kitchen P&amp;L'!H12+'Kitchen P&amp;L'!H34+'Kitchen P&amp;L'!H56+'Kitchen P&amp;L'!H78</f>
        <v/>
      </c>
      <c r="I11" s="6">
        <f>'Kitchen P&amp;L'!I12+'Kitchen P&amp;L'!I34+'Kitchen P&amp;L'!I56+'Kitchen P&amp;L'!I78</f>
        <v/>
      </c>
      <c r="J11" s="6">
        <f>'Kitchen P&amp;L'!J12+'Kitchen P&amp;L'!J34+'Kitchen P&amp;L'!J56+'Kitchen P&amp;L'!J78</f>
        <v/>
      </c>
      <c r="K11" s="6">
        <f>'Kitchen P&amp;L'!K12+'Kitchen P&amp;L'!K34+'Kitchen P&amp;L'!K56+'Kitchen P&amp;L'!K78</f>
        <v/>
      </c>
      <c r="L11" s="6">
        <f>'Kitchen P&amp;L'!L12+'Kitchen P&amp;L'!L34+'Kitchen P&amp;L'!L56+'Kitchen P&amp;L'!L78</f>
        <v/>
      </c>
      <c r="M11" s="6">
        <f>'Kitchen P&amp;L'!M12+'Kitchen P&amp;L'!M34+'Kitchen P&amp;L'!M56+'Kitchen P&amp;L'!M78</f>
        <v/>
      </c>
      <c r="N11" s="7">
        <f>SUM(B11:M11)</f>
        <v/>
      </c>
    </row>
    <row r="12">
      <c r="A12" s="5" t="inlineStr">
        <is>
          <t>Packaging + labor</t>
        </is>
      </c>
      <c r="B12" s="6">
        <f>'Kitchen P&amp;L'!B13+'Kitchen P&amp;L'!B35+'Kitchen P&amp;L'!B57+'Kitchen P&amp;L'!B79</f>
        <v/>
      </c>
      <c r="C12" s="6">
        <f>'Kitchen P&amp;L'!C13+'Kitchen P&amp;L'!C35+'Kitchen P&amp;L'!C57+'Kitchen P&amp;L'!C79</f>
        <v/>
      </c>
      <c r="D12" s="6">
        <f>'Kitchen P&amp;L'!D13+'Kitchen P&amp;L'!D35+'Kitchen P&amp;L'!D57+'Kitchen P&amp;L'!D79</f>
        <v/>
      </c>
      <c r="E12" s="6">
        <f>'Kitchen P&amp;L'!E13+'Kitchen P&amp;L'!E35+'Kitchen P&amp;L'!E57+'Kitchen P&amp;L'!E79</f>
        <v/>
      </c>
      <c r="F12" s="6">
        <f>'Kitchen P&amp;L'!F13+'Kitchen P&amp;L'!F35+'Kitchen P&amp;L'!F57+'Kitchen P&amp;L'!F79</f>
        <v/>
      </c>
      <c r="G12" s="6">
        <f>'Kitchen P&amp;L'!G13+'Kitchen P&amp;L'!G35+'Kitchen P&amp;L'!G57+'Kitchen P&amp;L'!G79</f>
        <v/>
      </c>
      <c r="H12" s="6">
        <f>'Kitchen P&amp;L'!H13+'Kitchen P&amp;L'!H35+'Kitchen P&amp;L'!H57+'Kitchen P&amp;L'!H79</f>
        <v/>
      </c>
      <c r="I12" s="6">
        <f>'Kitchen P&amp;L'!I13+'Kitchen P&amp;L'!I35+'Kitchen P&amp;L'!I57+'Kitchen P&amp;L'!I79</f>
        <v/>
      </c>
      <c r="J12" s="6">
        <f>'Kitchen P&amp;L'!J13+'Kitchen P&amp;L'!J35+'Kitchen P&amp;L'!J57+'Kitchen P&amp;L'!J79</f>
        <v/>
      </c>
      <c r="K12" s="6">
        <f>'Kitchen P&amp;L'!K13+'Kitchen P&amp;L'!K35+'Kitchen P&amp;L'!K57+'Kitchen P&amp;L'!K79</f>
        <v/>
      </c>
      <c r="L12" s="6">
        <f>'Kitchen P&amp;L'!L13+'Kitchen P&amp;L'!L35+'Kitchen P&amp;L'!L57+'Kitchen P&amp;L'!L79</f>
        <v/>
      </c>
      <c r="M12" s="6">
        <f>'Kitchen P&amp;L'!M13+'Kitchen P&amp;L'!M35+'Kitchen P&amp;L'!M57+'Kitchen P&amp;L'!M79</f>
        <v/>
      </c>
      <c r="N12" s="7">
        <f>SUM(B12:M12)</f>
        <v/>
      </c>
    </row>
    <row r="13">
      <c r="A13" s="8" t="inlineStr">
        <is>
          <t>Contribution margin (GP-B)</t>
        </is>
      </c>
      <c r="B13" s="9">
        <f>B10-B11-B12</f>
        <v/>
      </c>
      <c r="C13" s="9">
        <f>C10-C11-C12</f>
        <v/>
      </c>
      <c r="D13" s="9">
        <f>D10-D11-D12</f>
        <v/>
      </c>
      <c r="E13" s="9">
        <f>E10-E11-E12</f>
        <v/>
      </c>
      <c r="F13" s="9">
        <f>F10-F11-F12</f>
        <v/>
      </c>
      <c r="G13" s="9">
        <f>G10-G11-G12</f>
        <v/>
      </c>
      <c r="H13" s="9">
        <f>H10-H11-H12</f>
        <v/>
      </c>
      <c r="I13" s="9">
        <f>I10-I11-I12</f>
        <v/>
      </c>
      <c r="J13" s="9">
        <f>J10-J11-J12</f>
        <v/>
      </c>
      <c r="K13" s="9">
        <f>K10-K11-K12</f>
        <v/>
      </c>
      <c r="L13" s="9">
        <f>L10-L11-L12</f>
        <v/>
      </c>
      <c r="M13" s="9">
        <f>M10-M11-M12</f>
        <v/>
      </c>
      <c r="N13" s="9">
        <f>N10-N11-N12</f>
        <v/>
      </c>
    </row>
    <row r="14">
      <c r="A14" s="5" t="inlineStr">
        <is>
          <t>Waste cost</t>
        </is>
      </c>
      <c r="B14" s="6">
        <f>'Kitchen P&amp;L'!B15+'Kitchen P&amp;L'!B37+'Kitchen P&amp;L'!B59+'Kitchen P&amp;L'!B81</f>
        <v/>
      </c>
      <c r="C14" s="6">
        <f>'Kitchen P&amp;L'!C15+'Kitchen P&amp;L'!C37+'Kitchen P&amp;L'!C59+'Kitchen P&amp;L'!C81</f>
        <v/>
      </c>
      <c r="D14" s="6">
        <f>'Kitchen P&amp;L'!D15+'Kitchen P&amp;L'!D37+'Kitchen P&amp;L'!D59+'Kitchen P&amp;L'!D81</f>
        <v/>
      </c>
      <c r="E14" s="6">
        <f>'Kitchen P&amp;L'!E15+'Kitchen P&amp;L'!E37+'Kitchen P&amp;L'!E59+'Kitchen P&amp;L'!E81</f>
        <v/>
      </c>
      <c r="F14" s="6">
        <f>'Kitchen P&amp;L'!F15+'Kitchen P&amp;L'!F37+'Kitchen P&amp;L'!F59+'Kitchen P&amp;L'!F81</f>
        <v/>
      </c>
      <c r="G14" s="6">
        <f>'Kitchen P&amp;L'!G15+'Kitchen P&amp;L'!G37+'Kitchen P&amp;L'!G59+'Kitchen P&amp;L'!G81</f>
        <v/>
      </c>
      <c r="H14" s="6">
        <f>'Kitchen P&amp;L'!H15+'Kitchen P&amp;L'!H37+'Kitchen P&amp;L'!H59+'Kitchen P&amp;L'!H81</f>
        <v/>
      </c>
      <c r="I14" s="6">
        <f>'Kitchen P&amp;L'!I15+'Kitchen P&amp;L'!I37+'Kitchen P&amp;L'!I59+'Kitchen P&amp;L'!I81</f>
        <v/>
      </c>
      <c r="J14" s="6">
        <f>'Kitchen P&amp;L'!J15+'Kitchen P&amp;L'!J37+'Kitchen P&amp;L'!J59+'Kitchen P&amp;L'!J81</f>
        <v/>
      </c>
      <c r="K14" s="6">
        <f>'Kitchen P&amp;L'!K15+'Kitchen P&amp;L'!K37+'Kitchen P&amp;L'!K59+'Kitchen P&amp;L'!K81</f>
        <v/>
      </c>
      <c r="L14" s="6">
        <f>'Kitchen P&amp;L'!L15+'Kitchen P&amp;L'!L37+'Kitchen P&amp;L'!L59+'Kitchen P&amp;L'!L81</f>
        <v/>
      </c>
      <c r="M14" s="6">
        <f>'Kitchen P&amp;L'!M15+'Kitchen P&amp;L'!M37+'Kitchen P&amp;L'!M59+'Kitchen P&amp;L'!M81</f>
        <v/>
      </c>
      <c r="N14" s="7">
        <f>SUM(B14:M14)</f>
        <v/>
      </c>
    </row>
    <row r="15">
      <c r="A15" s="8" t="inlineStr">
        <is>
          <t>Gross profit (GP-C)</t>
        </is>
      </c>
      <c r="B15" s="9">
        <f>B13-B14</f>
        <v/>
      </c>
      <c r="C15" s="9">
        <f>C13-C14</f>
        <v/>
      </c>
      <c r="D15" s="9">
        <f>D13-D14</f>
        <v/>
      </c>
      <c r="E15" s="9">
        <f>E13-E14</f>
        <v/>
      </c>
      <c r="F15" s="9">
        <f>F13-F14</f>
        <v/>
      </c>
      <c r="G15" s="9">
        <f>G13-G14</f>
        <v/>
      </c>
      <c r="H15" s="9">
        <f>H13-H14</f>
        <v/>
      </c>
      <c r="I15" s="9">
        <f>I13-I14</f>
        <v/>
      </c>
      <c r="J15" s="9">
        <f>J13-J14</f>
        <v/>
      </c>
      <c r="K15" s="9">
        <f>K13-K14</f>
        <v/>
      </c>
      <c r="L15" s="9">
        <f>L13-L14</f>
        <v/>
      </c>
      <c r="M15" s="9">
        <f>M13-M14</f>
        <v/>
      </c>
      <c r="N15" s="9">
        <f>N13-N14</f>
        <v/>
      </c>
    </row>
    <row r="16">
      <c r="A16" s="5" t="inlineStr">
        <is>
          <t>Kitchen overhead</t>
        </is>
      </c>
      <c r="B16" s="6">
        <f>'Kitchen P&amp;L'!B17+'Kitchen P&amp;L'!B39+'Kitchen P&amp;L'!B61+'Kitchen P&amp;L'!B83</f>
        <v/>
      </c>
      <c r="C16" s="6">
        <f>'Kitchen P&amp;L'!C17+'Kitchen P&amp;L'!C39+'Kitchen P&amp;L'!C61+'Kitchen P&amp;L'!C83</f>
        <v/>
      </c>
      <c r="D16" s="6">
        <f>'Kitchen P&amp;L'!D17+'Kitchen P&amp;L'!D39+'Kitchen P&amp;L'!D61+'Kitchen P&amp;L'!D83</f>
        <v/>
      </c>
      <c r="E16" s="6">
        <f>'Kitchen P&amp;L'!E17+'Kitchen P&amp;L'!E39+'Kitchen P&amp;L'!E61+'Kitchen P&amp;L'!E83</f>
        <v/>
      </c>
      <c r="F16" s="6">
        <f>'Kitchen P&amp;L'!F17+'Kitchen P&amp;L'!F39+'Kitchen P&amp;L'!F61+'Kitchen P&amp;L'!F83</f>
        <v/>
      </c>
      <c r="G16" s="6">
        <f>'Kitchen P&amp;L'!G17+'Kitchen P&amp;L'!G39+'Kitchen P&amp;L'!G61+'Kitchen P&amp;L'!G83</f>
        <v/>
      </c>
      <c r="H16" s="6">
        <f>'Kitchen P&amp;L'!H17+'Kitchen P&amp;L'!H39+'Kitchen P&amp;L'!H61+'Kitchen P&amp;L'!H83</f>
        <v/>
      </c>
      <c r="I16" s="6">
        <f>'Kitchen P&amp;L'!I17+'Kitchen P&amp;L'!I39+'Kitchen P&amp;L'!I61+'Kitchen P&amp;L'!I83</f>
        <v/>
      </c>
      <c r="J16" s="6">
        <f>'Kitchen P&amp;L'!J17+'Kitchen P&amp;L'!J39+'Kitchen P&amp;L'!J61+'Kitchen P&amp;L'!J83</f>
        <v/>
      </c>
      <c r="K16" s="6">
        <f>'Kitchen P&amp;L'!K17+'Kitchen P&amp;L'!K39+'Kitchen P&amp;L'!K61+'Kitchen P&amp;L'!K83</f>
        <v/>
      </c>
      <c r="L16" s="6">
        <f>'Kitchen P&amp;L'!L17+'Kitchen P&amp;L'!L39+'Kitchen P&amp;L'!L61+'Kitchen P&amp;L'!L83</f>
        <v/>
      </c>
      <c r="M16" s="6">
        <f>'Kitchen P&amp;L'!M17+'Kitchen P&amp;L'!M39+'Kitchen P&amp;L'!M61+'Kitchen P&amp;L'!M83</f>
        <v/>
      </c>
      <c r="N16" s="7">
        <f>SUM(B16:M16)</f>
        <v/>
      </c>
    </row>
    <row r="17">
      <c r="A17" s="8" t="inlineStr">
        <is>
          <t>Operating profit</t>
        </is>
      </c>
      <c r="B17" s="9">
        <f>B15-B16</f>
        <v/>
      </c>
      <c r="C17" s="9">
        <f>C15-C16</f>
        <v/>
      </c>
      <c r="D17" s="9">
        <f>D15-D16</f>
        <v/>
      </c>
      <c r="E17" s="9">
        <f>E15-E16</f>
        <v/>
      </c>
      <c r="F17" s="9">
        <f>F15-F16</f>
        <v/>
      </c>
      <c r="G17" s="9">
        <f>G15-G16</f>
        <v/>
      </c>
      <c r="H17" s="9">
        <f>H15-H16</f>
        <v/>
      </c>
      <c r="I17" s="9">
        <f>I15-I16</f>
        <v/>
      </c>
      <c r="J17" s="9">
        <f>J15-J16</f>
        <v/>
      </c>
      <c r="K17" s="9">
        <f>K15-K16</f>
        <v/>
      </c>
      <c r="L17" s="9">
        <f>L15-L16</f>
        <v/>
      </c>
      <c r="M17" s="9">
        <f>M15-M16</f>
        <v/>
      </c>
      <c r="N17" s="9">
        <f>N15-N16</f>
        <v/>
      </c>
    </row>
    <row r="18">
      <c r="A18" s="5" t="inlineStr">
        <is>
          <t>GP-C % of gross revenue</t>
        </is>
      </c>
      <c r="B18" s="10">
        <f>IFERROR(B15/B8,0)</f>
        <v/>
      </c>
      <c r="C18" s="10">
        <f>IFERROR(C15/C8,0)</f>
        <v/>
      </c>
      <c r="D18" s="10">
        <f>IFERROR(D15/D8,0)</f>
        <v/>
      </c>
      <c r="E18" s="10">
        <f>IFERROR(E15/E8,0)</f>
        <v/>
      </c>
      <c r="F18" s="10">
        <f>IFERROR(F15/F8,0)</f>
        <v/>
      </c>
      <c r="G18" s="10">
        <f>IFERROR(G15/G8,0)</f>
        <v/>
      </c>
      <c r="H18" s="10">
        <f>IFERROR(H15/H8,0)</f>
        <v/>
      </c>
      <c r="I18" s="10">
        <f>IFERROR(I15/I8,0)</f>
        <v/>
      </c>
      <c r="J18" s="10">
        <f>IFERROR(J15/J8,0)</f>
        <v/>
      </c>
      <c r="K18" s="10">
        <f>IFERROR(K15/K8,0)</f>
        <v/>
      </c>
      <c r="L18" s="10">
        <f>IFERROR(L15/L8,0)</f>
        <v/>
      </c>
      <c r="M18" s="10">
        <f>IFERROR(M15/M8,0)</f>
        <v/>
      </c>
      <c r="N18" s="10">
        <f>IFERROR(N15/N8,0)</f>
        <v/>
      </c>
    </row>
    <row r="19">
      <c r="A19" s="5" t="inlineStr">
        <is>
          <t>Operating margin %</t>
        </is>
      </c>
      <c r="B19" s="10">
        <f>IFERROR(B17/B8,0)</f>
        <v/>
      </c>
      <c r="C19" s="10">
        <f>IFERROR(C17/C8,0)</f>
        <v/>
      </c>
      <c r="D19" s="10">
        <f>IFERROR(D17/D8,0)</f>
        <v/>
      </c>
      <c r="E19" s="10">
        <f>IFERROR(E17/E8,0)</f>
        <v/>
      </c>
      <c r="F19" s="10">
        <f>IFERROR(F17/F8,0)</f>
        <v/>
      </c>
      <c r="G19" s="10">
        <f>IFERROR(G17/G8,0)</f>
        <v/>
      </c>
      <c r="H19" s="10">
        <f>IFERROR(H17/H8,0)</f>
        <v/>
      </c>
      <c r="I19" s="10">
        <f>IFERROR(I17/I8,0)</f>
        <v/>
      </c>
      <c r="J19" s="10">
        <f>IFERROR(J17/J8,0)</f>
        <v/>
      </c>
      <c r="K19" s="10">
        <f>IFERROR(K17/K8,0)</f>
        <v/>
      </c>
      <c r="L19" s="10">
        <f>IFERROR(L17/L8,0)</f>
        <v/>
      </c>
      <c r="M19" s="10">
        <f>IFERROR(M17/M8,0)</f>
        <v/>
      </c>
      <c r="N19" s="10">
        <f>IFERROR(N17/N8,0)</f>
        <v/>
      </c>
    </row>
    <row r="20">
      <c r="A20" s="5" t="inlineStr">
        <is>
          <t>Commission % of gross revenue</t>
        </is>
      </c>
      <c r="B20" s="10">
        <f>IFERROR(B9/B8,0)</f>
        <v/>
      </c>
      <c r="C20" s="10">
        <f>IFERROR(C9/C8,0)</f>
        <v/>
      </c>
      <c r="D20" s="10">
        <f>IFERROR(D9/D8,0)</f>
        <v/>
      </c>
      <c r="E20" s="10">
        <f>IFERROR(E9/E8,0)</f>
        <v/>
      </c>
      <c r="F20" s="10">
        <f>IFERROR(F9/F8,0)</f>
        <v/>
      </c>
      <c r="G20" s="10">
        <f>IFERROR(G9/G8,0)</f>
        <v/>
      </c>
      <c r="H20" s="10">
        <f>IFERROR(H9/H8,0)</f>
        <v/>
      </c>
      <c r="I20" s="10">
        <f>IFERROR(I9/I8,0)</f>
        <v/>
      </c>
      <c r="J20" s="10">
        <f>IFERROR(J9/J8,0)</f>
        <v/>
      </c>
      <c r="K20" s="10">
        <f>IFERROR(K9/K8,0)</f>
        <v/>
      </c>
      <c r="L20" s="10">
        <f>IFERROR(L9/L8,0)</f>
        <v/>
      </c>
      <c r="M20" s="10">
        <f>IFERROR(M9/M8,0)</f>
        <v/>
      </c>
      <c r="N20" s="10">
        <f>IFERROR(N9/N8,0)</f>
        <v/>
      </c>
    </row>
    <row r="21">
      <c r="A21" s="5" t="inlineStr">
        <is>
          <t>Fruit % of gross revenue</t>
        </is>
      </c>
      <c r="B21" s="10">
        <f>IFERROR(B11/B8,0)</f>
        <v/>
      </c>
      <c r="C21" s="10">
        <f>IFERROR(C11/C8,0)</f>
        <v/>
      </c>
      <c r="D21" s="10">
        <f>IFERROR(D11/D8,0)</f>
        <v/>
      </c>
      <c r="E21" s="10">
        <f>IFERROR(E11/E8,0)</f>
        <v/>
      </c>
      <c r="F21" s="10">
        <f>IFERROR(F11/F8,0)</f>
        <v/>
      </c>
      <c r="G21" s="10">
        <f>IFERROR(G11/G8,0)</f>
        <v/>
      </c>
      <c r="H21" s="10">
        <f>IFERROR(H11/H8,0)</f>
        <v/>
      </c>
      <c r="I21" s="10">
        <f>IFERROR(I11/I8,0)</f>
        <v/>
      </c>
      <c r="J21" s="10">
        <f>IFERROR(J11/J8,0)</f>
        <v/>
      </c>
      <c r="K21" s="10">
        <f>IFERROR(K11/K8,0)</f>
        <v/>
      </c>
      <c r="L21" s="10">
        <f>IFERROR(L11/L8,0)</f>
        <v/>
      </c>
      <c r="M21" s="10">
        <f>IFERROR(M11/M8,0)</f>
        <v/>
      </c>
      <c r="N21" s="10">
        <f>IFERROR(N11/N8,0)</f>
        <v/>
      </c>
    </row>
    <row r="22">
      <c r="A22" s="5" t="inlineStr">
        <is>
          <t>Waste % of gross revenue</t>
        </is>
      </c>
      <c r="B22" s="10">
        <f>IFERROR(B14/B8,0)</f>
        <v/>
      </c>
      <c r="C22" s="10">
        <f>IFERROR(C14/C8,0)</f>
        <v/>
      </c>
      <c r="D22" s="10">
        <f>IFERROR(D14/D8,0)</f>
        <v/>
      </c>
      <c r="E22" s="10">
        <f>IFERROR(E14/E8,0)</f>
        <v/>
      </c>
      <c r="F22" s="10">
        <f>IFERROR(F14/F8,0)</f>
        <v/>
      </c>
      <c r="G22" s="10">
        <f>IFERROR(G14/G8,0)</f>
        <v/>
      </c>
      <c r="H22" s="10">
        <f>IFERROR(H14/H8,0)</f>
        <v/>
      </c>
      <c r="I22" s="10">
        <f>IFERROR(I14/I8,0)</f>
        <v/>
      </c>
      <c r="J22" s="10">
        <f>IFERROR(J14/J8,0)</f>
        <v/>
      </c>
      <c r="K22" s="10">
        <f>IFERROR(K14/K8,0)</f>
        <v/>
      </c>
      <c r="L22" s="10">
        <f>IFERROR(L14/L8,0)</f>
        <v/>
      </c>
      <c r="M22" s="10">
        <f>IFERROR(M14/M8,0)</f>
        <v/>
      </c>
      <c r="N22" s="10">
        <f>IFERROR(N14/N8,0)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Kitchen P&amp;L, THB by month</t>
        </is>
      </c>
    </row>
    <row r="2">
      <c r="A2" s="2" t="inlineStr">
        <is>
          <t>Blue = numbers from the data. Black = formulas. Overhead is fixed per kitchen and never split to items.</t>
        </is>
      </c>
    </row>
    <row r="4">
      <c r="A4" s="8" t="inlineStr">
        <is>
          <t>BKK_Ladprao</t>
        </is>
      </c>
    </row>
    <row r="5">
      <c r="A5" s="3" t="inlineStr">
        <is>
          <t>Line</t>
        </is>
      </c>
      <c r="B5" s="4" t="inlineStr">
        <is>
          <t>2025-09</t>
        </is>
      </c>
      <c r="C5" s="4" t="inlineStr">
        <is>
          <t>2025-10</t>
        </is>
      </c>
      <c r="D5" s="4" t="inlineStr">
        <is>
          <t>2025-11</t>
        </is>
      </c>
      <c r="E5" s="4" t="inlineStr">
        <is>
          <t>2025-12</t>
        </is>
      </c>
      <c r="F5" s="4" t="inlineStr">
        <is>
          <t>2026-01</t>
        </is>
      </c>
      <c r="G5" s="4" t="inlineStr">
        <is>
          <t>2026-02</t>
        </is>
      </c>
      <c r="H5" s="4" t="inlineStr">
        <is>
          <t>2026-03</t>
        </is>
      </c>
      <c r="I5" s="4" t="inlineStr">
        <is>
          <t>2026-04</t>
        </is>
      </c>
      <c r="J5" s="4" t="inlineStr">
        <is>
          <t>2026-05</t>
        </is>
      </c>
      <c r="K5" s="4" t="inlineStr">
        <is>
          <t>2026-06</t>
        </is>
      </c>
      <c r="L5" s="4" t="inlineStr">
        <is>
          <t>2026-07</t>
        </is>
      </c>
      <c r="M5" s="4" t="inlineStr">
        <is>
          <t>2026-08</t>
        </is>
      </c>
      <c r="N5" s="4" t="inlineStr">
        <is>
          <t>FY</t>
        </is>
      </c>
    </row>
    <row r="6">
      <c r="A6" s="5" t="inlineStr">
        <is>
          <t>Cups sold</t>
        </is>
      </c>
      <c r="B6" s="11" t="n">
        <v>5961</v>
      </c>
      <c r="C6" s="11" t="n">
        <v>6089</v>
      </c>
      <c r="D6" s="11" t="n">
        <v>6635</v>
      </c>
      <c r="E6" s="11" t="n">
        <v>7338</v>
      </c>
      <c r="F6" s="11" t="n">
        <v>7503</v>
      </c>
      <c r="G6" s="11" t="n">
        <v>6961</v>
      </c>
      <c r="H6" s="11" t="n">
        <v>9999</v>
      </c>
      <c r="I6" s="11" t="n">
        <v>11467</v>
      </c>
      <c r="J6" s="11" t="n">
        <v>9917</v>
      </c>
      <c r="K6" s="11" t="n">
        <v>6827</v>
      </c>
      <c r="L6" s="11" t="n">
        <v>6357</v>
      </c>
      <c r="M6" s="11" t="n">
        <v>6372</v>
      </c>
      <c r="N6" s="7">
        <f>SUM(B6:M6)</f>
        <v/>
      </c>
    </row>
    <row r="7">
      <c r="A7" s="5" t="inlineStr">
        <is>
          <t>List revenue</t>
        </is>
      </c>
      <c r="B7" s="11" t="n">
        <v>294593</v>
      </c>
      <c r="C7" s="11" t="n">
        <v>301373</v>
      </c>
      <c r="D7" s="11" t="n">
        <v>329191</v>
      </c>
      <c r="E7" s="11" t="n">
        <v>364838</v>
      </c>
      <c r="F7" s="11" t="n">
        <v>372443</v>
      </c>
      <c r="G7" s="11" t="n">
        <v>344017</v>
      </c>
      <c r="H7" s="11" t="n">
        <v>542747</v>
      </c>
      <c r="I7" s="11" t="n">
        <v>606423</v>
      </c>
      <c r="J7" s="11" t="n">
        <v>520425</v>
      </c>
      <c r="K7" s="11" t="n">
        <v>356283</v>
      </c>
      <c r="L7" s="11" t="n">
        <v>329097</v>
      </c>
      <c r="M7" s="11" t="n">
        <v>329868</v>
      </c>
      <c r="N7" s="7">
        <f>SUM(B7:M7)</f>
        <v/>
      </c>
    </row>
    <row r="8">
      <c r="A8" s="5" t="inlineStr">
        <is>
          <t>Discount</t>
        </is>
      </c>
      <c r="B8" s="11" t="n">
        <v>8734.549999999999</v>
      </c>
      <c r="C8" s="11" t="n">
        <v>6887.07</v>
      </c>
      <c r="D8" s="11" t="n">
        <v>4504</v>
      </c>
      <c r="E8" s="11" t="n">
        <v>4849.35</v>
      </c>
      <c r="F8" s="11" t="n">
        <v>4117.45</v>
      </c>
      <c r="G8" s="11" t="n">
        <v>6178.25</v>
      </c>
      <c r="H8" s="11" t="n">
        <v>8010.749999999998</v>
      </c>
      <c r="I8" s="11" t="n">
        <v>9030</v>
      </c>
      <c r="J8" s="11" t="n">
        <v>9164.849999999999</v>
      </c>
      <c r="K8" s="11" t="n">
        <v>9821.299999999999</v>
      </c>
      <c r="L8" s="11" t="n">
        <v>8295.289999999999</v>
      </c>
      <c r="M8" s="11" t="n">
        <v>7962.04</v>
      </c>
      <c r="N8" s="7">
        <f>SUM(B8:M8)</f>
        <v/>
      </c>
    </row>
    <row r="9">
      <c r="A9" s="8" t="inlineStr">
        <is>
          <t>Gross revenue</t>
        </is>
      </c>
      <c r="B9" s="9">
        <f>B7-B8</f>
        <v/>
      </c>
      <c r="C9" s="9">
        <f>C7-C8</f>
        <v/>
      </c>
      <c r="D9" s="9">
        <f>D7-D8</f>
        <v/>
      </c>
      <c r="E9" s="9">
        <f>E7-E8</f>
        <v/>
      </c>
      <c r="F9" s="9">
        <f>F7-F8</f>
        <v/>
      </c>
      <c r="G9" s="9">
        <f>G7-G8</f>
        <v/>
      </c>
      <c r="H9" s="9">
        <f>H7-H8</f>
        <v/>
      </c>
      <c r="I9" s="9">
        <f>I7-I8</f>
        <v/>
      </c>
      <c r="J9" s="9">
        <f>J7-J8</f>
        <v/>
      </c>
      <c r="K9" s="9">
        <f>K7-K8</f>
        <v/>
      </c>
      <c r="L9" s="9">
        <f>L7-L8</f>
        <v/>
      </c>
      <c r="M9" s="9">
        <f>M7-M8</f>
        <v/>
      </c>
      <c r="N9" s="9">
        <f>N7-N8</f>
        <v/>
      </c>
    </row>
    <row r="10">
      <c r="A10" s="5" t="inlineStr">
        <is>
          <t>Commission</t>
        </is>
      </c>
      <c r="B10" s="11" t="n">
        <v>77708.35920000001</v>
      </c>
      <c r="C10" s="11" t="n">
        <v>80222.3316</v>
      </c>
      <c r="D10" s="11" t="n">
        <v>87579.204</v>
      </c>
      <c r="E10" s="11" t="n">
        <v>100380.123</v>
      </c>
      <c r="F10" s="11" t="n">
        <v>100698.165</v>
      </c>
      <c r="G10" s="11" t="n">
        <v>92855.685</v>
      </c>
      <c r="H10" s="11" t="n">
        <v>144440.745</v>
      </c>
      <c r="I10" s="11" t="n">
        <v>165930.372</v>
      </c>
      <c r="J10" s="11" t="n">
        <v>140281.473</v>
      </c>
      <c r="K10" s="11" t="n">
        <v>95645.21459999999</v>
      </c>
      <c r="L10" s="11" t="n">
        <v>87656.0514</v>
      </c>
      <c r="M10" s="11" t="n">
        <v>86966.3208</v>
      </c>
      <c r="N10" s="7">
        <f>SUM(B10:M10)</f>
        <v/>
      </c>
    </row>
    <row r="11">
      <c r="A11" s="8" t="inlineStr">
        <is>
          <t>Net revenue</t>
        </is>
      </c>
      <c r="B11" s="9">
        <f>B9-B10</f>
        <v/>
      </c>
      <c r="C11" s="9">
        <f>C9-C10</f>
        <v/>
      </c>
      <c r="D11" s="9">
        <f>D9-D10</f>
        <v/>
      </c>
      <c r="E11" s="9">
        <f>E9-E10</f>
        <v/>
      </c>
      <c r="F11" s="9">
        <f>F9-F10</f>
        <v/>
      </c>
      <c r="G11" s="9">
        <f>G9-G10</f>
        <v/>
      </c>
      <c r="H11" s="9">
        <f>H9-H10</f>
        <v/>
      </c>
      <c r="I11" s="9">
        <f>I9-I10</f>
        <v/>
      </c>
      <c r="J11" s="9">
        <f>J9-J10</f>
        <v/>
      </c>
      <c r="K11" s="9">
        <f>K9-K10</f>
        <v/>
      </c>
      <c r="L11" s="9">
        <f>L9-L10</f>
        <v/>
      </c>
      <c r="M11" s="9">
        <f>M9-M10</f>
        <v/>
      </c>
      <c r="N11" s="9">
        <f>N9-N10</f>
        <v/>
      </c>
    </row>
    <row r="12">
      <c r="A12" s="5" t="inlineStr">
        <is>
          <t>Fruit cost</t>
        </is>
      </c>
      <c r="B12" s="11" t="n">
        <v>61037.46000000001</v>
      </c>
      <c r="C12" s="11" t="n">
        <v>61740.3</v>
      </c>
      <c r="D12" s="11" t="n">
        <v>67189.59</v>
      </c>
      <c r="E12" s="11" t="n">
        <v>75455.95999999999</v>
      </c>
      <c r="F12" s="11" t="n">
        <v>75509.83</v>
      </c>
      <c r="G12" s="11" t="n">
        <v>69801.76999999999</v>
      </c>
      <c r="H12" s="11" t="n">
        <v>128174.22</v>
      </c>
      <c r="I12" s="11" t="n">
        <v>131472.2</v>
      </c>
      <c r="J12" s="11" t="n">
        <v>113025.21</v>
      </c>
      <c r="K12" s="11" t="n">
        <v>89940.61</v>
      </c>
      <c r="L12" s="11" t="n">
        <v>84687.29000000001</v>
      </c>
      <c r="M12" s="11" t="n">
        <v>87994.11</v>
      </c>
      <c r="N12" s="7">
        <f>SUM(B12:M12)</f>
        <v/>
      </c>
    </row>
    <row r="13">
      <c r="A13" s="5" t="inlineStr">
        <is>
          <t>Packaging + labor</t>
        </is>
      </c>
      <c r="B13" s="11" t="n">
        <v>66860</v>
      </c>
      <c r="C13" s="11" t="n">
        <v>68326.5</v>
      </c>
      <c r="D13" s="11" t="n">
        <v>74495.5</v>
      </c>
      <c r="E13" s="11" t="n">
        <v>82424</v>
      </c>
      <c r="F13" s="11" t="n">
        <v>84292</v>
      </c>
      <c r="G13" s="11" t="n">
        <v>78103</v>
      </c>
      <c r="H13" s="11" t="n">
        <v>116780</v>
      </c>
      <c r="I13" s="11" t="n">
        <v>132396</v>
      </c>
      <c r="J13" s="11" t="n">
        <v>114154.5</v>
      </c>
      <c r="K13" s="11" t="n">
        <v>78371</v>
      </c>
      <c r="L13" s="11" t="n">
        <v>72704</v>
      </c>
      <c r="M13" s="11" t="n">
        <v>72885</v>
      </c>
      <c r="N13" s="7">
        <f>SUM(B13:M13)</f>
        <v/>
      </c>
    </row>
    <row r="14">
      <c r="A14" s="8" t="inlineStr">
        <is>
          <t>Contribution margin (GP-B)</t>
        </is>
      </c>
      <c r="B14" s="9">
        <f>B11-B12-B13</f>
        <v/>
      </c>
      <c r="C14" s="9">
        <f>C11-C12-C13</f>
        <v/>
      </c>
      <c r="D14" s="9">
        <f>D11-D12-D13</f>
        <v/>
      </c>
      <c r="E14" s="9">
        <f>E11-E12-E13</f>
        <v/>
      </c>
      <c r="F14" s="9">
        <f>F11-F12-F13</f>
        <v/>
      </c>
      <c r="G14" s="9">
        <f>G11-G12-G13</f>
        <v/>
      </c>
      <c r="H14" s="9">
        <f>H11-H12-H13</f>
        <v/>
      </c>
      <c r="I14" s="9">
        <f>I11-I12-I13</f>
        <v/>
      </c>
      <c r="J14" s="9">
        <f>J11-J12-J13</f>
        <v/>
      </c>
      <c r="K14" s="9">
        <f>K11-K12-K13</f>
        <v/>
      </c>
      <c r="L14" s="9">
        <f>L11-L12-L13</f>
        <v/>
      </c>
      <c r="M14" s="9">
        <f>M11-M12-M13</f>
        <v/>
      </c>
      <c r="N14" s="9">
        <f>N11-N12-N13</f>
        <v/>
      </c>
    </row>
    <row r="15">
      <c r="A15" s="5" t="inlineStr">
        <is>
          <t>Waste cost</t>
        </is>
      </c>
      <c r="B15" s="11" t="n">
        <v>8256.860000000001</v>
      </c>
      <c r="C15" s="11" t="n">
        <v>7782.74</v>
      </c>
      <c r="D15" s="11" t="n">
        <v>8478.65</v>
      </c>
      <c r="E15" s="11" t="n">
        <v>9369.880000000001</v>
      </c>
      <c r="F15" s="11" t="n">
        <v>9501.360000000001</v>
      </c>
      <c r="G15" s="11" t="n">
        <v>9100.889999999999</v>
      </c>
      <c r="H15" s="11" t="n">
        <v>32463.7</v>
      </c>
      <c r="I15" s="11" t="n">
        <v>31171.95</v>
      </c>
      <c r="J15" s="11" t="n">
        <v>26126.83754820937</v>
      </c>
      <c r="K15" s="11" t="n">
        <v>19927.17</v>
      </c>
      <c r="L15" s="11" t="n">
        <v>16469.69754820937</v>
      </c>
      <c r="M15" s="11" t="n">
        <v>17885.33</v>
      </c>
      <c r="N15" s="7">
        <f>SUM(B15:M15)</f>
        <v/>
      </c>
    </row>
    <row r="16">
      <c r="A16" s="8" t="inlineStr">
        <is>
          <t>Gross profit (GP-C)</t>
        </is>
      </c>
      <c r="B16" s="9">
        <f>B14-B15</f>
        <v/>
      </c>
      <c r="C16" s="9">
        <f>C14-C15</f>
        <v/>
      </c>
      <c r="D16" s="9">
        <f>D14-D15</f>
        <v/>
      </c>
      <c r="E16" s="9">
        <f>E14-E15</f>
        <v/>
      </c>
      <c r="F16" s="9">
        <f>F14-F15</f>
        <v/>
      </c>
      <c r="G16" s="9">
        <f>G14-G15</f>
        <v/>
      </c>
      <c r="H16" s="9">
        <f>H14-H15</f>
        <v/>
      </c>
      <c r="I16" s="9">
        <f>I14-I15</f>
        <v/>
      </c>
      <c r="J16" s="9">
        <f>J14-J15</f>
        <v/>
      </c>
      <c r="K16" s="9">
        <f>K14-K15</f>
        <v/>
      </c>
      <c r="L16" s="9">
        <f>L14-L15</f>
        <v/>
      </c>
      <c r="M16" s="9">
        <f>M14-M15</f>
        <v/>
      </c>
      <c r="N16" s="9">
        <f>N14-N15</f>
        <v/>
      </c>
    </row>
    <row r="17">
      <c r="A17" s="5" t="inlineStr">
        <is>
          <t>Kitchen overhead</t>
        </is>
      </c>
      <c r="B17" s="11" t="n">
        <v>140000</v>
      </c>
      <c r="C17" s="11" t="n">
        <v>140000</v>
      </c>
      <c r="D17" s="11" t="n">
        <v>140000</v>
      </c>
      <c r="E17" s="11" t="n">
        <v>140000</v>
      </c>
      <c r="F17" s="11" t="n">
        <v>140000</v>
      </c>
      <c r="G17" s="11" t="n">
        <v>140000</v>
      </c>
      <c r="H17" s="11" t="n">
        <v>140000</v>
      </c>
      <c r="I17" s="11" t="n">
        <v>140000</v>
      </c>
      <c r="J17" s="11" t="n">
        <v>140000</v>
      </c>
      <c r="K17" s="11" t="n">
        <v>140000</v>
      </c>
      <c r="L17" s="11" t="n">
        <v>140000</v>
      </c>
      <c r="M17" s="11" t="n">
        <v>140000</v>
      </c>
      <c r="N17" s="7">
        <f>SUM(B17:M17)</f>
        <v/>
      </c>
    </row>
    <row r="18">
      <c r="A18" s="8" t="inlineStr">
        <is>
          <t>Operating profit</t>
        </is>
      </c>
      <c r="B18" s="9">
        <f>B16-B17</f>
        <v/>
      </c>
      <c r="C18" s="9">
        <f>C16-C17</f>
        <v/>
      </c>
      <c r="D18" s="9">
        <f>D16-D17</f>
        <v/>
      </c>
      <c r="E18" s="9">
        <f>E16-E17</f>
        <v/>
      </c>
      <c r="F18" s="9">
        <f>F16-F17</f>
        <v/>
      </c>
      <c r="G18" s="9">
        <f>G16-G17</f>
        <v/>
      </c>
      <c r="H18" s="9">
        <f>H16-H17</f>
        <v/>
      </c>
      <c r="I18" s="9">
        <f>I16-I17</f>
        <v/>
      </c>
      <c r="J18" s="9">
        <f>J16-J17</f>
        <v/>
      </c>
      <c r="K18" s="9">
        <f>K16-K17</f>
        <v/>
      </c>
      <c r="L18" s="9">
        <f>L16-L17</f>
        <v/>
      </c>
      <c r="M18" s="9">
        <f>M16-M17</f>
        <v/>
      </c>
      <c r="N18" s="9">
        <f>N16-N17</f>
        <v/>
      </c>
    </row>
    <row r="19">
      <c r="A19" s="5" t="inlineStr">
        <is>
          <t>GP-C % of gross revenue</t>
        </is>
      </c>
      <c r="B19" s="10">
        <f>IFERROR(B16/B9,0)</f>
        <v/>
      </c>
      <c r="C19" s="10">
        <f>IFERROR(C16/C9,0)</f>
        <v/>
      </c>
      <c r="D19" s="10">
        <f>IFERROR(D16/D9,0)</f>
        <v/>
      </c>
      <c r="E19" s="10">
        <f>IFERROR(E16/E9,0)</f>
        <v/>
      </c>
      <c r="F19" s="10">
        <f>IFERROR(F16/F9,0)</f>
        <v/>
      </c>
      <c r="G19" s="10">
        <f>IFERROR(G16/G9,0)</f>
        <v/>
      </c>
      <c r="H19" s="10">
        <f>IFERROR(H16/H9,0)</f>
        <v/>
      </c>
      <c r="I19" s="10">
        <f>IFERROR(I16/I9,0)</f>
        <v/>
      </c>
      <c r="J19" s="10">
        <f>IFERROR(J16/J9,0)</f>
        <v/>
      </c>
      <c r="K19" s="10">
        <f>IFERROR(K16/K9,0)</f>
        <v/>
      </c>
      <c r="L19" s="10">
        <f>IFERROR(L16/L9,0)</f>
        <v/>
      </c>
      <c r="M19" s="10">
        <f>IFERROR(M16/M9,0)</f>
        <v/>
      </c>
      <c r="N19" s="10">
        <f>IFERROR(N16/N9,0)</f>
        <v/>
      </c>
    </row>
    <row r="20">
      <c r="A20" s="5" t="inlineStr">
        <is>
          <t>Operating margin %</t>
        </is>
      </c>
      <c r="B20" s="10">
        <f>IFERROR(B18/B9,0)</f>
        <v/>
      </c>
      <c r="C20" s="10">
        <f>IFERROR(C18/C9,0)</f>
        <v/>
      </c>
      <c r="D20" s="10">
        <f>IFERROR(D18/D9,0)</f>
        <v/>
      </c>
      <c r="E20" s="10">
        <f>IFERROR(E18/E9,0)</f>
        <v/>
      </c>
      <c r="F20" s="10">
        <f>IFERROR(F18/F9,0)</f>
        <v/>
      </c>
      <c r="G20" s="10">
        <f>IFERROR(G18/G9,0)</f>
        <v/>
      </c>
      <c r="H20" s="10">
        <f>IFERROR(H18/H9,0)</f>
        <v/>
      </c>
      <c r="I20" s="10">
        <f>IFERROR(I18/I9,0)</f>
        <v/>
      </c>
      <c r="J20" s="10">
        <f>IFERROR(J18/J9,0)</f>
        <v/>
      </c>
      <c r="K20" s="10">
        <f>IFERROR(K18/K9,0)</f>
        <v/>
      </c>
      <c r="L20" s="10">
        <f>IFERROR(L18/L9,0)</f>
        <v/>
      </c>
      <c r="M20" s="10">
        <f>IFERROR(M18/M9,0)</f>
        <v/>
      </c>
      <c r="N20" s="10">
        <f>IFERROR(N18/N9,0)</f>
        <v/>
      </c>
    </row>
    <row r="21">
      <c r="A21" s="5" t="inlineStr">
        <is>
          <t>Commission % of gross revenue</t>
        </is>
      </c>
      <c r="B21" s="10">
        <f>IFERROR(B10/B9,0)</f>
        <v/>
      </c>
      <c r="C21" s="10">
        <f>IFERROR(C10/C9,0)</f>
        <v/>
      </c>
      <c r="D21" s="10">
        <f>IFERROR(D10/D9,0)</f>
        <v/>
      </c>
      <c r="E21" s="10">
        <f>IFERROR(E10/E9,0)</f>
        <v/>
      </c>
      <c r="F21" s="10">
        <f>IFERROR(F10/F9,0)</f>
        <v/>
      </c>
      <c r="G21" s="10">
        <f>IFERROR(G10/G9,0)</f>
        <v/>
      </c>
      <c r="H21" s="10">
        <f>IFERROR(H10/H9,0)</f>
        <v/>
      </c>
      <c r="I21" s="10">
        <f>IFERROR(I10/I9,0)</f>
        <v/>
      </c>
      <c r="J21" s="10">
        <f>IFERROR(J10/J9,0)</f>
        <v/>
      </c>
      <c r="K21" s="10">
        <f>IFERROR(K10/K9,0)</f>
        <v/>
      </c>
      <c r="L21" s="10">
        <f>IFERROR(L10/L9,0)</f>
        <v/>
      </c>
      <c r="M21" s="10">
        <f>IFERROR(M10/M9,0)</f>
        <v/>
      </c>
      <c r="N21" s="10">
        <f>IFERROR(N10/N9,0)</f>
        <v/>
      </c>
    </row>
    <row r="22">
      <c r="A22" s="5" t="inlineStr">
        <is>
          <t>Fruit % of gross revenue</t>
        </is>
      </c>
      <c r="B22" s="10">
        <f>IFERROR(B12/B9,0)</f>
        <v/>
      </c>
      <c r="C22" s="10">
        <f>IFERROR(C12/C9,0)</f>
        <v/>
      </c>
      <c r="D22" s="10">
        <f>IFERROR(D12/D9,0)</f>
        <v/>
      </c>
      <c r="E22" s="10">
        <f>IFERROR(E12/E9,0)</f>
        <v/>
      </c>
      <c r="F22" s="10">
        <f>IFERROR(F12/F9,0)</f>
        <v/>
      </c>
      <c r="G22" s="10">
        <f>IFERROR(G12/G9,0)</f>
        <v/>
      </c>
      <c r="H22" s="10">
        <f>IFERROR(H12/H9,0)</f>
        <v/>
      </c>
      <c r="I22" s="10">
        <f>IFERROR(I12/I9,0)</f>
        <v/>
      </c>
      <c r="J22" s="10">
        <f>IFERROR(J12/J9,0)</f>
        <v/>
      </c>
      <c r="K22" s="10">
        <f>IFERROR(K12/K9,0)</f>
        <v/>
      </c>
      <c r="L22" s="10">
        <f>IFERROR(L12/L9,0)</f>
        <v/>
      </c>
      <c r="M22" s="10">
        <f>IFERROR(M12/M9,0)</f>
        <v/>
      </c>
      <c r="N22" s="10">
        <f>IFERROR(N12/N9,0)</f>
        <v/>
      </c>
    </row>
    <row r="23">
      <c r="A23" s="5" t="inlineStr">
        <is>
          <t>Waste % of gross revenue</t>
        </is>
      </c>
      <c r="B23" s="10">
        <f>IFERROR(B15/B9,0)</f>
        <v/>
      </c>
      <c r="C23" s="10">
        <f>IFERROR(C15/C9,0)</f>
        <v/>
      </c>
      <c r="D23" s="10">
        <f>IFERROR(D15/D9,0)</f>
        <v/>
      </c>
      <c r="E23" s="10">
        <f>IFERROR(E15/E9,0)</f>
        <v/>
      </c>
      <c r="F23" s="10">
        <f>IFERROR(F15/F9,0)</f>
        <v/>
      </c>
      <c r="G23" s="10">
        <f>IFERROR(G15/G9,0)</f>
        <v/>
      </c>
      <c r="H23" s="10">
        <f>IFERROR(H15/H9,0)</f>
        <v/>
      </c>
      <c r="I23" s="10">
        <f>IFERROR(I15/I9,0)</f>
        <v/>
      </c>
      <c r="J23" s="10">
        <f>IFERROR(J15/J9,0)</f>
        <v/>
      </c>
      <c r="K23" s="10">
        <f>IFERROR(K15/K9,0)</f>
        <v/>
      </c>
      <c r="L23" s="10">
        <f>IFERROR(L15/L9,0)</f>
        <v/>
      </c>
      <c r="M23" s="10">
        <f>IFERROR(M15/M9,0)</f>
        <v/>
      </c>
      <c r="N23" s="10">
        <f>IFERROR(N15/N9,0)</f>
        <v/>
      </c>
    </row>
    <row r="26">
      <c r="A26" s="8" t="inlineStr">
        <is>
          <t>BKK_Sukhumvit</t>
        </is>
      </c>
    </row>
    <row r="27">
      <c r="A27" s="3" t="inlineStr">
        <is>
          <t>Line</t>
        </is>
      </c>
      <c r="B27" s="4" t="inlineStr">
        <is>
          <t>2025-09</t>
        </is>
      </c>
      <c r="C27" s="4" t="inlineStr">
        <is>
          <t>2025-10</t>
        </is>
      </c>
      <c r="D27" s="4" t="inlineStr">
        <is>
          <t>2025-11</t>
        </is>
      </c>
      <c r="E27" s="4" t="inlineStr">
        <is>
          <t>2025-12</t>
        </is>
      </c>
      <c r="F27" s="4" t="inlineStr">
        <is>
          <t>2026-01</t>
        </is>
      </c>
      <c r="G27" s="4" t="inlineStr">
        <is>
          <t>2026-02</t>
        </is>
      </c>
      <c r="H27" s="4" t="inlineStr">
        <is>
          <t>2026-03</t>
        </is>
      </c>
      <c r="I27" s="4" t="inlineStr">
        <is>
          <t>2026-04</t>
        </is>
      </c>
      <c r="J27" s="4" t="inlineStr">
        <is>
          <t>2026-05</t>
        </is>
      </c>
      <c r="K27" s="4" t="inlineStr">
        <is>
          <t>2026-06</t>
        </is>
      </c>
      <c r="L27" s="4" t="inlineStr">
        <is>
          <t>2026-07</t>
        </is>
      </c>
      <c r="M27" s="4" t="inlineStr">
        <is>
          <t>2026-08</t>
        </is>
      </c>
      <c r="N27" s="4" t="inlineStr">
        <is>
          <t>FY</t>
        </is>
      </c>
    </row>
    <row r="28">
      <c r="A28" s="5" t="inlineStr">
        <is>
          <t>Cups sold</t>
        </is>
      </c>
      <c r="B28" s="11" t="n">
        <v>9919</v>
      </c>
      <c r="C28" s="11" t="n">
        <v>10197</v>
      </c>
      <c r="D28" s="11" t="n">
        <v>11449</v>
      </c>
      <c r="E28" s="11" t="n">
        <v>12354</v>
      </c>
      <c r="F28" s="11" t="n">
        <v>12239</v>
      </c>
      <c r="G28" s="11" t="n">
        <v>11841</v>
      </c>
      <c r="H28" s="11" t="n">
        <v>16419</v>
      </c>
      <c r="I28" s="11" t="n">
        <v>19128</v>
      </c>
      <c r="J28" s="11" t="n">
        <v>16611</v>
      </c>
      <c r="K28" s="11" t="n">
        <v>11177</v>
      </c>
      <c r="L28" s="11" t="n">
        <v>10716</v>
      </c>
      <c r="M28" s="11" t="n">
        <v>10851</v>
      </c>
      <c r="N28" s="7">
        <f>SUM(B28:M28)</f>
        <v/>
      </c>
    </row>
    <row r="29">
      <c r="A29" s="5" t="inlineStr">
        <is>
          <t>List revenue</t>
        </is>
      </c>
      <c r="B29" s="11" t="n">
        <v>491755</v>
      </c>
      <c r="C29" s="11" t="n">
        <v>504597</v>
      </c>
      <c r="D29" s="11" t="n">
        <v>566529</v>
      </c>
      <c r="E29" s="11" t="n">
        <v>612874</v>
      </c>
      <c r="F29" s="11" t="n">
        <v>606411</v>
      </c>
      <c r="G29" s="11" t="n">
        <v>586253</v>
      </c>
      <c r="H29" s="11" t="n">
        <v>889551</v>
      </c>
      <c r="I29" s="11" t="n">
        <v>1011648</v>
      </c>
      <c r="J29" s="11" t="n">
        <v>871859</v>
      </c>
      <c r="K29" s="11" t="n">
        <v>586481</v>
      </c>
      <c r="L29" s="11" t="n">
        <v>557024</v>
      </c>
      <c r="M29" s="11" t="n">
        <v>561571</v>
      </c>
      <c r="N29" s="7">
        <f>SUM(B29:M29)</f>
        <v/>
      </c>
    </row>
    <row r="30">
      <c r="A30" s="5" t="inlineStr">
        <is>
          <t>Discount</t>
        </is>
      </c>
      <c r="B30" s="11" t="n">
        <v>13625.86</v>
      </c>
      <c r="C30" s="11" t="n">
        <v>11172.91</v>
      </c>
      <c r="D30" s="11" t="n">
        <v>7921.699999999999</v>
      </c>
      <c r="E30" s="11" t="n">
        <v>9214.200000000001</v>
      </c>
      <c r="F30" s="11" t="n">
        <v>6692.65</v>
      </c>
      <c r="G30" s="11" t="n">
        <v>10233.1</v>
      </c>
      <c r="H30" s="11" t="n">
        <v>12222.15</v>
      </c>
      <c r="I30" s="11" t="n">
        <v>14738.75</v>
      </c>
      <c r="J30" s="11" t="n">
        <v>15114.45</v>
      </c>
      <c r="K30" s="11" t="n">
        <v>15584.37</v>
      </c>
      <c r="L30" s="11" t="n">
        <v>14059.93</v>
      </c>
      <c r="M30" s="11" t="n">
        <v>13315.76</v>
      </c>
      <c r="N30" s="7">
        <f>SUM(B30:M30)</f>
        <v/>
      </c>
    </row>
    <row r="31">
      <c r="A31" s="8" t="inlineStr">
        <is>
          <t>Gross revenue</t>
        </is>
      </c>
      <c r="B31" s="9">
        <f>B29-B30</f>
        <v/>
      </c>
      <c r="C31" s="9">
        <f>C29-C30</f>
        <v/>
      </c>
      <c r="D31" s="9">
        <f>D29-D30</f>
        <v/>
      </c>
      <c r="E31" s="9">
        <f>E29-E30</f>
        <v/>
      </c>
      <c r="F31" s="9">
        <f>F29-F30</f>
        <v/>
      </c>
      <c r="G31" s="9">
        <f>G29-G30</f>
        <v/>
      </c>
      <c r="H31" s="9">
        <f>H29-H30</f>
        <v/>
      </c>
      <c r="I31" s="9">
        <f>I29-I30</f>
        <v/>
      </c>
      <c r="J31" s="9">
        <f>J29-J30</f>
        <v/>
      </c>
      <c r="K31" s="9">
        <f>K29-K30</f>
        <v/>
      </c>
      <c r="L31" s="9">
        <f>L29-L30</f>
        <v/>
      </c>
      <c r="M31" s="9">
        <f>M29-M30</f>
        <v/>
      </c>
      <c r="N31" s="9">
        <f>N29-N30</f>
        <v/>
      </c>
    </row>
    <row r="32">
      <c r="A32" s="5" t="inlineStr">
        <is>
          <t>Commission</t>
        </is>
      </c>
      <c r="B32" s="11" t="n">
        <v>130909.5192</v>
      </c>
      <c r="C32" s="11" t="n">
        <v>132818.9532</v>
      </c>
      <c r="D32" s="11" t="n">
        <v>152749.392</v>
      </c>
      <c r="E32" s="11" t="n">
        <v>164866.911</v>
      </c>
      <c r="F32" s="11" t="n">
        <v>166179.576</v>
      </c>
      <c r="G32" s="11" t="n">
        <v>158546.292</v>
      </c>
      <c r="H32" s="11" t="n">
        <v>237614.787</v>
      </c>
      <c r="I32" s="11" t="n">
        <v>274495.374</v>
      </c>
      <c r="J32" s="11" t="n">
        <v>231481.161</v>
      </c>
      <c r="K32" s="11" t="n">
        <v>156014.7624</v>
      </c>
      <c r="L32" s="11" t="n">
        <v>148977.93</v>
      </c>
      <c r="M32" s="11" t="n">
        <v>147034.788</v>
      </c>
      <c r="N32" s="7">
        <f>SUM(B32:M32)</f>
        <v/>
      </c>
    </row>
    <row r="33">
      <c r="A33" s="8" t="inlineStr">
        <is>
          <t>Net revenue</t>
        </is>
      </c>
      <c r="B33" s="9">
        <f>B31-B32</f>
        <v/>
      </c>
      <c r="C33" s="9">
        <f>C31-C32</f>
        <v/>
      </c>
      <c r="D33" s="9">
        <f>D31-D32</f>
        <v/>
      </c>
      <c r="E33" s="9">
        <f>E31-E32</f>
        <v/>
      </c>
      <c r="F33" s="9">
        <f>F31-F32</f>
        <v/>
      </c>
      <c r="G33" s="9">
        <f>G31-G32</f>
        <v/>
      </c>
      <c r="H33" s="9">
        <f>H31-H32</f>
        <v/>
      </c>
      <c r="I33" s="9">
        <f>I31-I32</f>
        <v/>
      </c>
      <c r="J33" s="9">
        <f>J31-J32</f>
        <v/>
      </c>
      <c r="K33" s="9">
        <f>K31-K32</f>
        <v/>
      </c>
      <c r="L33" s="9">
        <f>L31-L32</f>
        <v/>
      </c>
      <c r="M33" s="9">
        <f>M31-M32</f>
        <v/>
      </c>
      <c r="N33" s="9">
        <f>N31-N32</f>
        <v/>
      </c>
    </row>
    <row r="34">
      <c r="A34" s="5" t="inlineStr">
        <is>
          <t>Fruit cost</t>
        </is>
      </c>
      <c r="B34" s="11" t="n">
        <v>102401.69</v>
      </c>
      <c r="C34" s="11" t="n">
        <v>103474.2</v>
      </c>
      <c r="D34" s="11" t="n">
        <v>115220.55</v>
      </c>
      <c r="E34" s="11" t="n">
        <v>126344.62</v>
      </c>
      <c r="F34" s="11" t="n">
        <v>122660.31</v>
      </c>
      <c r="G34" s="11" t="n">
        <v>119526.16</v>
      </c>
      <c r="H34" s="11" t="n">
        <v>209526.08</v>
      </c>
      <c r="I34" s="11" t="n">
        <v>219536.67</v>
      </c>
      <c r="J34" s="11" t="n">
        <v>189024.02</v>
      </c>
      <c r="K34" s="11" t="n">
        <v>149672</v>
      </c>
      <c r="L34" s="11" t="n">
        <v>144825.03</v>
      </c>
      <c r="M34" s="11" t="n">
        <v>149818.88</v>
      </c>
      <c r="N34" s="7">
        <f>SUM(B34:M34)</f>
        <v/>
      </c>
    </row>
    <row r="35">
      <c r="A35" s="5" t="inlineStr">
        <is>
          <t>Packaging + labor</t>
        </is>
      </c>
      <c r="B35" s="11" t="n">
        <v>111352.5</v>
      </c>
      <c r="C35" s="11" t="n">
        <v>114419.5</v>
      </c>
      <c r="D35" s="11" t="n">
        <v>128449.5</v>
      </c>
      <c r="E35" s="11" t="n">
        <v>138706</v>
      </c>
      <c r="F35" s="11" t="n">
        <v>137395.5</v>
      </c>
      <c r="G35" s="11" t="n">
        <v>132883</v>
      </c>
      <c r="H35" s="11" t="n">
        <v>191463</v>
      </c>
      <c r="I35" s="11" t="n">
        <v>220858</v>
      </c>
      <c r="J35" s="11" t="n">
        <v>191191</v>
      </c>
      <c r="K35" s="11" t="n">
        <v>128507.5</v>
      </c>
      <c r="L35" s="11" t="n">
        <v>122763</v>
      </c>
      <c r="M35" s="11" t="n">
        <v>124114</v>
      </c>
      <c r="N35" s="7">
        <f>SUM(B35:M35)</f>
        <v/>
      </c>
    </row>
    <row r="36">
      <c r="A36" s="8" t="inlineStr">
        <is>
          <t>Contribution margin (GP-B)</t>
        </is>
      </c>
      <c r="B36" s="9">
        <f>B33-B34-B35</f>
        <v/>
      </c>
      <c r="C36" s="9">
        <f>C33-C34-C35</f>
        <v/>
      </c>
      <c r="D36" s="9">
        <f>D33-D34-D35</f>
        <v/>
      </c>
      <c r="E36" s="9">
        <f>E33-E34-E35</f>
        <v/>
      </c>
      <c r="F36" s="9">
        <f>F33-F34-F35</f>
        <v/>
      </c>
      <c r="G36" s="9">
        <f>G33-G34-G35</f>
        <v/>
      </c>
      <c r="H36" s="9">
        <f>H33-H34-H35</f>
        <v/>
      </c>
      <c r="I36" s="9">
        <f>I33-I34-I35</f>
        <v/>
      </c>
      <c r="J36" s="9">
        <f>J33-J34-J35</f>
        <v/>
      </c>
      <c r="K36" s="9">
        <f>K33-K34-K35</f>
        <v/>
      </c>
      <c r="L36" s="9">
        <f>L33-L34-L35</f>
        <v/>
      </c>
      <c r="M36" s="9">
        <f>M33-M34-M35</f>
        <v/>
      </c>
      <c r="N36" s="9">
        <f>N33-N34-N35</f>
        <v/>
      </c>
    </row>
    <row r="37">
      <c r="A37" s="5" t="inlineStr">
        <is>
          <t>Waste cost</t>
        </is>
      </c>
      <c r="B37" s="11" t="n">
        <v>8245.54564738292</v>
      </c>
      <c r="C37" s="11" t="n">
        <v>8164.05</v>
      </c>
      <c r="D37" s="11" t="n">
        <v>9306.345647382921</v>
      </c>
      <c r="E37" s="11" t="n">
        <v>9585.92</v>
      </c>
      <c r="F37" s="11" t="n">
        <v>9518.700000000001</v>
      </c>
      <c r="G37" s="11" t="n">
        <v>9706.299999999999</v>
      </c>
      <c r="H37" s="11" t="n">
        <v>29866.89</v>
      </c>
      <c r="I37" s="11" t="n">
        <v>31055.7</v>
      </c>
      <c r="J37" s="11" t="n">
        <v>25126.17</v>
      </c>
      <c r="K37" s="11" t="n">
        <v>18854.95</v>
      </c>
      <c r="L37" s="11" t="n">
        <v>16679.52</v>
      </c>
      <c r="M37" s="11" t="n">
        <v>17291.71</v>
      </c>
      <c r="N37" s="7">
        <f>SUM(B37:M37)</f>
        <v/>
      </c>
    </row>
    <row r="38">
      <c r="A38" s="8" t="inlineStr">
        <is>
          <t>Gross profit (GP-C)</t>
        </is>
      </c>
      <c r="B38" s="9">
        <f>B36-B37</f>
        <v/>
      </c>
      <c r="C38" s="9">
        <f>C36-C37</f>
        <v/>
      </c>
      <c r="D38" s="9">
        <f>D36-D37</f>
        <v/>
      </c>
      <c r="E38" s="9">
        <f>E36-E37</f>
        <v/>
      </c>
      <c r="F38" s="9">
        <f>F36-F37</f>
        <v/>
      </c>
      <c r="G38" s="9">
        <f>G36-G37</f>
        <v/>
      </c>
      <c r="H38" s="9">
        <f>H36-H37</f>
        <v/>
      </c>
      <c r="I38" s="9">
        <f>I36-I37</f>
        <v/>
      </c>
      <c r="J38" s="9">
        <f>J36-J37</f>
        <v/>
      </c>
      <c r="K38" s="9">
        <f>K36-K37</f>
        <v/>
      </c>
      <c r="L38" s="9">
        <f>L36-L37</f>
        <v/>
      </c>
      <c r="M38" s="9">
        <f>M36-M37</f>
        <v/>
      </c>
      <c r="N38" s="9">
        <f>N36-N37</f>
        <v/>
      </c>
    </row>
    <row r="39">
      <c r="A39" s="5" t="inlineStr">
        <is>
          <t>Kitchen overhead</t>
        </is>
      </c>
      <c r="B39" s="11" t="n">
        <v>200000</v>
      </c>
      <c r="C39" s="11" t="n">
        <v>200000</v>
      </c>
      <c r="D39" s="11" t="n">
        <v>200000</v>
      </c>
      <c r="E39" s="11" t="n">
        <v>200000</v>
      </c>
      <c r="F39" s="11" t="n">
        <v>200000</v>
      </c>
      <c r="G39" s="11" t="n">
        <v>200000</v>
      </c>
      <c r="H39" s="11" t="n">
        <v>200000</v>
      </c>
      <c r="I39" s="11" t="n">
        <v>200000</v>
      </c>
      <c r="J39" s="11" t="n">
        <v>200000</v>
      </c>
      <c r="K39" s="11" t="n">
        <v>200000</v>
      </c>
      <c r="L39" s="11" t="n">
        <v>200000</v>
      </c>
      <c r="M39" s="11" t="n">
        <v>200000</v>
      </c>
      <c r="N39" s="7">
        <f>SUM(B39:M39)</f>
        <v/>
      </c>
    </row>
    <row r="40">
      <c r="A40" s="8" t="inlineStr">
        <is>
          <t>Operating profit</t>
        </is>
      </c>
      <c r="B40" s="9">
        <f>B38-B39</f>
        <v/>
      </c>
      <c r="C40" s="9">
        <f>C38-C39</f>
        <v/>
      </c>
      <c r="D40" s="9">
        <f>D38-D39</f>
        <v/>
      </c>
      <c r="E40" s="9">
        <f>E38-E39</f>
        <v/>
      </c>
      <c r="F40" s="9">
        <f>F38-F39</f>
        <v/>
      </c>
      <c r="G40" s="9">
        <f>G38-G39</f>
        <v/>
      </c>
      <c r="H40" s="9">
        <f>H38-H39</f>
        <v/>
      </c>
      <c r="I40" s="9">
        <f>I38-I39</f>
        <v/>
      </c>
      <c r="J40" s="9">
        <f>J38-J39</f>
        <v/>
      </c>
      <c r="K40" s="9">
        <f>K38-K39</f>
        <v/>
      </c>
      <c r="L40" s="9">
        <f>L38-L39</f>
        <v/>
      </c>
      <c r="M40" s="9">
        <f>M38-M39</f>
        <v/>
      </c>
      <c r="N40" s="9">
        <f>N38-N39</f>
        <v/>
      </c>
    </row>
    <row r="41">
      <c r="A41" s="5" t="inlineStr">
        <is>
          <t>GP-C % of gross revenue</t>
        </is>
      </c>
      <c r="B41" s="10">
        <f>IFERROR(B38/B31,0)</f>
        <v/>
      </c>
      <c r="C41" s="10">
        <f>IFERROR(C38/C31,0)</f>
        <v/>
      </c>
      <c r="D41" s="10">
        <f>IFERROR(D38/D31,0)</f>
        <v/>
      </c>
      <c r="E41" s="10">
        <f>IFERROR(E38/E31,0)</f>
        <v/>
      </c>
      <c r="F41" s="10">
        <f>IFERROR(F38/F31,0)</f>
        <v/>
      </c>
      <c r="G41" s="10">
        <f>IFERROR(G38/G31,0)</f>
        <v/>
      </c>
      <c r="H41" s="10">
        <f>IFERROR(H38/H31,0)</f>
        <v/>
      </c>
      <c r="I41" s="10">
        <f>IFERROR(I38/I31,0)</f>
        <v/>
      </c>
      <c r="J41" s="10">
        <f>IFERROR(J38/J31,0)</f>
        <v/>
      </c>
      <c r="K41" s="10">
        <f>IFERROR(K38/K31,0)</f>
        <v/>
      </c>
      <c r="L41" s="10">
        <f>IFERROR(L38/L31,0)</f>
        <v/>
      </c>
      <c r="M41" s="10">
        <f>IFERROR(M38/M31,0)</f>
        <v/>
      </c>
      <c r="N41" s="10">
        <f>IFERROR(N38/N31,0)</f>
        <v/>
      </c>
    </row>
    <row r="42">
      <c r="A42" s="5" t="inlineStr">
        <is>
          <t>Operating margin %</t>
        </is>
      </c>
      <c r="B42" s="10">
        <f>IFERROR(B40/B31,0)</f>
        <v/>
      </c>
      <c r="C42" s="10">
        <f>IFERROR(C40/C31,0)</f>
        <v/>
      </c>
      <c r="D42" s="10">
        <f>IFERROR(D40/D31,0)</f>
        <v/>
      </c>
      <c r="E42" s="10">
        <f>IFERROR(E40/E31,0)</f>
        <v/>
      </c>
      <c r="F42" s="10">
        <f>IFERROR(F40/F31,0)</f>
        <v/>
      </c>
      <c r="G42" s="10">
        <f>IFERROR(G40/G31,0)</f>
        <v/>
      </c>
      <c r="H42" s="10">
        <f>IFERROR(H40/H31,0)</f>
        <v/>
      </c>
      <c r="I42" s="10">
        <f>IFERROR(I40/I31,0)</f>
        <v/>
      </c>
      <c r="J42" s="10">
        <f>IFERROR(J40/J31,0)</f>
        <v/>
      </c>
      <c r="K42" s="10">
        <f>IFERROR(K40/K31,0)</f>
        <v/>
      </c>
      <c r="L42" s="10">
        <f>IFERROR(L40/L31,0)</f>
        <v/>
      </c>
      <c r="M42" s="10">
        <f>IFERROR(M40/M31,0)</f>
        <v/>
      </c>
      <c r="N42" s="10">
        <f>IFERROR(N40/N31,0)</f>
        <v/>
      </c>
    </row>
    <row r="43">
      <c r="A43" s="5" t="inlineStr">
        <is>
          <t>Commission % of gross revenue</t>
        </is>
      </c>
      <c r="B43" s="10">
        <f>IFERROR(B32/B31,0)</f>
        <v/>
      </c>
      <c r="C43" s="10">
        <f>IFERROR(C32/C31,0)</f>
        <v/>
      </c>
      <c r="D43" s="10">
        <f>IFERROR(D32/D31,0)</f>
        <v/>
      </c>
      <c r="E43" s="10">
        <f>IFERROR(E32/E31,0)</f>
        <v/>
      </c>
      <c r="F43" s="10">
        <f>IFERROR(F32/F31,0)</f>
        <v/>
      </c>
      <c r="G43" s="10">
        <f>IFERROR(G32/G31,0)</f>
        <v/>
      </c>
      <c r="H43" s="10">
        <f>IFERROR(H32/H31,0)</f>
        <v/>
      </c>
      <c r="I43" s="10">
        <f>IFERROR(I32/I31,0)</f>
        <v/>
      </c>
      <c r="J43" s="10">
        <f>IFERROR(J32/J31,0)</f>
        <v/>
      </c>
      <c r="K43" s="10">
        <f>IFERROR(K32/K31,0)</f>
        <v/>
      </c>
      <c r="L43" s="10">
        <f>IFERROR(L32/L31,0)</f>
        <v/>
      </c>
      <c r="M43" s="10">
        <f>IFERROR(M32/M31,0)</f>
        <v/>
      </c>
      <c r="N43" s="10">
        <f>IFERROR(N32/N31,0)</f>
        <v/>
      </c>
    </row>
    <row r="44">
      <c r="A44" s="5" t="inlineStr">
        <is>
          <t>Fruit % of gross revenue</t>
        </is>
      </c>
      <c r="B44" s="10">
        <f>IFERROR(B34/B31,0)</f>
        <v/>
      </c>
      <c r="C44" s="10">
        <f>IFERROR(C34/C31,0)</f>
        <v/>
      </c>
      <c r="D44" s="10">
        <f>IFERROR(D34/D31,0)</f>
        <v/>
      </c>
      <c r="E44" s="10">
        <f>IFERROR(E34/E31,0)</f>
        <v/>
      </c>
      <c r="F44" s="10">
        <f>IFERROR(F34/F31,0)</f>
        <v/>
      </c>
      <c r="G44" s="10">
        <f>IFERROR(G34/G31,0)</f>
        <v/>
      </c>
      <c r="H44" s="10">
        <f>IFERROR(H34/H31,0)</f>
        <v/>
      </c>
      <c r="I44" s="10">
        <f>IFERROR(I34/I31,0)</f>
        <v/>
      </c>
      <c r="J44" s="10">
        <f>IFERROR(J34/J31,0)</f>
        <v/>
      </c>
      <c r="K44" s="10">
        <f>IFERROR(K34/K31,0)</f>
        <v/>
      </c>
      <c r="L44" s="10">
        <f>IFERROR(L34/L31,0)</f>
        <v/>
      </c>
      <c r="M44" s="10">
        <f>IFERROR(M34/M31,0)</f>
        <v/>
      </c>
      <c r="N44" s="10">
        <f>IFERROR(N34/N31,0)</f>
        <v/>
      </c>
    </row>
    <row r="45">
      <c r="A45" s="5" t="inlineStr">
        <is>
          <t>Waste % of gross revenue</t>
        </is>
      </c>
      <c r="B45" s="10">
        <f>IFERROR(B37/B31,0)</f>
        <v/>
      </c>
      <c r="C45" s="10">
        <f>IFERROR(C37/C31,0)</f>
        <v/>
      </c>
      <c r="D45" s="10">
        <f>IFERROR(D37/D31,0)</f>
        <v/>
      </c>
      <c r="E45" s="10">
        <f>IFERROR(E37/E31,0)</f>
        <v/>
      </c>
      <c r="F45" s="10">
        <f>IFERROR(F37/F31,0)</f>
        <v/>
      </c>
      <c r="G45" s="10">
        <f>IFERROR(G37/G31,0)</f>
        <v/>
      </c>
      <c r="H45" s="10">
        <f>IFERROR(H37/H31,0)</f>
        <v/>
      </c>
      <c r="I45" s="10">
        <f>IFERROR(I37/I31,0)</f>
        <v/>
      </c>
      <c r="J45" s="10">
        <f>IFERROR(J37/J31,0)</f>
        <v/>
      </c>
      <c r="K45" s="10">
        <f>IFERROR(K37/K31,0)</f>
        <v/>
      </c>
      <c r="L45" s="10">
        <f>IFERROR(L37/L31,0)</f>
        <v/>
      </c>
      <c r="M45" s="10">
        <f>IFERROR(M37/M31,0)</f>
        <v/>
      </c>
      <c r="N45" s="10">
        <f>IFERROR(N37/N31,0)</f>
        <v/>
      </c>
    </row>
    <row r="48">
      <c r="A48" s="8" t="inlineStr">
        <is>
          <t>Pattaya_Beach</t>
        </is>
      </c>
    </row>
    <row r="49">
      <c r="A49" s="3" t="inlineStr">
        <is>
          <t>Line</t>
        </is>
      </c>
      <c r="B49" s="4" t="inlineStr">
        <is>
          <t>2025-09</t>
        </is>
      </c>
      <c r="C49" s="4" t="inlineStr">
        <is>
          <t>2025-10</t>
        </is>
      </c>
      <c r="D49" s="4" t="inlineStr">
        <is>
          <t>2025-11</t>
        </is>
      </c>
      <c r="E49" s="4" t="inlineStr">
        <is>
          <t>2025-12</t>
        </is>
      </c>
      <c r="F49" s="4" t="inlineStr">
        <is>
          <t>2026-01</t>
        </is>
      </c>
      <c r="G49" s="4" t="inlineStr">
        <is>
          <t>2026-02</t>
        </is>
      </c>
      <c r="H49" s="4" t="inlineStr">
        <is>
          <t>2026-03</t>
        </is>
      </c>
      <c r="I49" s="4" t="inlineStr">
        <is>
          <t>2026-04</t>
        </is>
      </c>
      <c r="J49" s="4" t="inlineStr">
        <is>
          <t>2026-05</t>
        </is>
      </c>
      <c r="K49" s="4" t="inlineStr">
        <is>
          <t>2026-06</t>
        </is>
      </c>
      <c r="L49" s="4" t="inlineStr">
        <is>
          <t>2026-07</t>
        </is>
      </c>
      <c r="M49" s="4" t="inlineStr">
        <is>
          <t>2026-08</t>
        </is>
      </c>
      <c r="N49" s="4" t="inlineStr">
        <is>
          <t>FY</t>
        </is>
      </c>
    </row>
    <row r="50">
      <c r="A50" s="5" t="inlineStr">
        <is>
          <t>Cups sold</t>
        </is>
      </c>
      <c r="B50" s="11" t="n">
        <v>10997</v>
      </c>
      <c r="C50" s="11" t="n">
        <v>11155</v>
      </c>
      <c r="D50" s="11" t="n">
        <v>12826</v>
      </c>
      <c r="E50" s="11" t="n">
        <v>13620</v>
      </c>
      <c r="F50" s="11" t="n">
        <v>13941</v>
      </c>
      <c r="G50" s="11" t="n">
        <v>13299</v>
      </c>
      <c r="H50" s="11" t="n">
        <v>18779</v>
      </c>
      <c r="I50" s="11" t="n">
        <v>21402</v>
      </c>
      <c r="J50" s="11" t="n">
        <v>18745</v>
      </c>
      <c r="K50" s="11" t="n">
        <v>12497</v>
      </c>
      <c r="L50" s="11" t="n">
        <v>11922</v>
      </c>
      <c r="M50" s="11" t="n">
        <v>12256</v>
      </c>
      <c r="N50" s="7">
        <f>SUM(B50:M50)</f>
        <v/>
      </c>
    </row>
    <row r="51">
      <c r="A51" s="5" t="inlineStr">
        <is>
          <t>List revenue</t>
        </is>
      </c>
      <c r="B51" s="11" t="n">
        <v>543905</v>
      </c>
      <c r="C51" s="11" t="n">
        <v>553323</v>
      </c>
      <c r="D51" s="11" t="n">
        <v>636954</v>
      </c>
      <c r="E51" s="11" t="n">
        <v>673544</v>
      </c>
      <c r="F51" s="11" t="n">
        <v>691777</v>
      </c>
      <c r="G51" s="11" t="n">
        <v>659243</v>
      </c>
      <c r="H51" s="11" t="n">
        <v>1015043</v>
      </c>
      <c r="I51" s="11" t="n">
        <v>1130762</v>
      </c>
      <c r="J51" s="11" t="n">
        <v>983645</v>
      </c>
      <c r="K51" s="11" t="n">
        <v>655125</v>
      </c>
      <c r="L51" s="11" t="n">
        <v>622258</v>
      </c>
      <c r="M51" s="11" t="n">
        <v>637068</v>
      </c>
      <c r="N51" s="7">
        <f>SUM(B51:M51)</f>
        <v/>
      </c>
    </row>
    <row r="52">
      <c r="A52" s="5" t="inlineStr">
        <is>
          <t>Discount</t>
        </is>
      </c>
      <c r="B52" s="11" t="n">
        <v>15030.81</v>
      </c>
      <c r="C52" s="11" t="n">
        <v>12127.3</v>
      </c>
      <c r="D52" s="11" t="n">
        <v>8653.699999999999</v>
      </c>
      <c r="E52" s="11" t="n">
        <v>9189.75</v>
      </c>
      <c r="F52" s="11" t="n">
        <v>8518.799999999999</v>
      </c>
      <c r="G52" s="11" t="n">
        <v>11581.5</v>
      </c>
      <c r="H52" s="11" t="n">
        <v>12496.65</v>
      </c>
      <c r="I52" s="11" t="n">
        <v>17512.2</v>
      </c>
      <c r="J52" s="11" t="n">
        <v>16416.4</v>
      </c>
      <c r="K52" s="11" t="n">
        <v>18281.28</v>
      </c>
      <c r="L52" s="11" t="n">
        <v>15730.54</v>
      </c>
      <c r="M52" s="11" t="n">
        <v>17600.64</v>
      </c>
      <c r="N52" s="7">
        <f>SUM(B52:M52)</f>
        <v/>
      </c>
    </row>
    <row r="53">
      <c r="A53" s="8" t="inlineStr">
        <is>
          <t>Gross revenue</t>
        </is>
      </c>
      <c r="B53" s="9">
        <f>B51-B52</f>
        <v/>
      </c>
      <c r="C53" s="9">
        <f>C51-C52</f>
        <v/>
      </c>
      <c r="D53" s="9">
        <f>D51-D52</f>
        <v/>
      </c>
      <c r="E53" s="9">
        <f>E51-E52</f>
        <v/>
      </c>
      <c r="F53" s="9">
        <f>F51-F52</f>
        <v/>
      </c>
      <c r="G53" s="9">
        <f>G51-G52</f>
        <v/>
      </c>
      <c r="H53" s="9">
        <f>H51-H52</f>
        <v/>
      </c>
      <c r="I53" s="9">
        <f>I51-I52</f>
        <v/>
      </c>
      <c r="J53" s="9">
        <f>J51-J52</f>
        <v/>
      </c>
      <c r="K53" s="9">
        <f>K51-K52</f>
        <v/>
      </c>
      <c r="L53" s="9">
        <f>L51-L52</f>
        <v/>
      </c>
      <c r="M53" s="9">
        <f>M51-M52</f>
        <v/>
      </c>
      <c r="N53" s="9">
        <f>N51-N52</f>
        <v/>
      </c>
    </row>
    <row r="54">
      <c r="A54" s="5" t="inlineStr">
        <is>
          <t>Commission</t>
        </is>
      </c>
      <c r="B54" s="11" t="n">
        <v>141559.4736</v>
      </c>
      <c r="C54" s="11" t="n">
        <v>148486.4724</v>
      </c>
      <c r="D54" s="11" t="n">
        <v>172463.97</v>
      </c>
      <c r="E54" s="11" t="n">
        <v>183999.06</v>
      </c>
      <c r="F54" s="11" t="n">
        <v>186923.58</v>
      </c>
      <c r="G54" s="11" t="n">
        <v>177316.2</v>
      </c>
      <c r="H54" s="11" t="n">
        <v>278299.59</v>
      </c>
      <c r="I54" s="11" t="n">
        <v>305944.893</v>
      </c>
      <c r="J54" s="11" t="n">
        <v>264890.616</v>
      </c>
      <c r="K54" s="11" t="n">
        <v>172725.4794</v>
      </c>
      <c r="L54" s="11" t="n">
        <v>165922.7106</v>
      </c>
      <c r="M54" s="11" t="n">
        <v>170154.9648</v>
      </c>
      <c r="N54" s="7">
        <f>SUM(B54:M54)</f>
        <v/>
      </c>
    </row>
    <row r="55">
      <c r="A55" s="8" t="inlineStr">
        <is>
          <t>Net revenue</t>
        </is>
      </c>
      <c r="B55" s="9">
        <f>B53-B54</f>
        <v/>
      </c>
      <c r="C55" s="9">
        <f>C53-C54</f>
        <v/>
      </c>
      <c r="D55" s="9">
        <f>D53-D54</f>
        <v/>
      </c>
      <c r="E55" s="9">
        <f>E53-E54</f>
        <v/>
      </c>
      <c r="F55" s="9">
        <f>F53-F54</f>
        <v/>
      </c>
      <c r="G55" s="9">
        <f>G53-G54</f>
        <v/>
      </c>
      <c r="H55" s="9">
        <f>H53-H54</f>
        <v/>
      </c>
      <c r="I55" s="9">
        <f>I53-I54</f>
        <v/>
      </c>
      <c r="J55" s="9">
        <f>J53-J54</f>
        <v/>
      </c>
      <c r="K55" s="9">
        <f>K53-K54</f>
        <v/>
      </c>
      <c r="L55" s="9">
        <f>L53-L54</f>
        <v/>
      </c>
      <c r="M55" s="9">
        <f>M53-M54</f>
        <v/>
      </c>
      <c r="N55" s="9">
        <f>N53-N54</f>
        <v/>
      </c>
    </row>
    <row r="56">
      <c r="A56" s="5" t="inlineStr">
        <is>
          <t>Fruit cost</t>
        </is>
      </c>
      <c r="B56" s="11" t="n">
        <v>112779.19</v>
      </c>
      <c r="C56" s="11" t="n">
        <v>113739.14</v>
      </c>
      <c r="D56" s="11" t="n">
        <v>130200</v>
      </c>
      <c r="E56" s="11" t="n">
        <v>138129.39</v>
      </c>
      <c r="F56" s="11" t="n">
        <v>140271.55</v>
      </c>
      <c r="G56" s="11" t="n">
        <v>134518.03</v>
      </c>
      <c r="H56" s="11" t="n">
        <v>238350.45</v>
      </c>
      <c r="I56" s="11" t="n">
        <v>244447.9</v>
      </c>
      <c r="J56" s="11" t="n">
        <v>213145.15</v>
      </c>
      <c r="K56" s="11" t="n">
        <v>167193.28</v>
      </c>
      <c r="L56" s="11" t="n">
        <v>163503.7</v>
      </c>
      <c r="M56" s="11" t="n">
        <v>172007.6</v>
      </c>
      <c r="N56" s="7">
        <f>SUM(B56:M56)</f>
        <v/>
      </c>
    </row>
    <row r="57">
      <c r="A57" s="5" t="inlineStr">
        <is>
          <t>Packaging + labor</t>
        </is>
      </c>
      <c r="B57" s="11" t="n">
        <v>123376</v>
      </c>
      <c r="C57" s="11" t="n">
        <v>125278.5</v>
      </c>
      <c r="D57" s="11" t="n">
        <v>144018.5</v>
      </c>
      <c r="E57" s="11" t="n">
        <v>152829</v>
      </c>
      <c r="F57" s="11" t="n">
        <v>156496.5</v>
      </c>
      <c r="G57" s="11" t="n">
        <v>149289.5</v>
      </c>
      <c r="H57" s="11" t="n">
        <v>218846</v>
      </c>
      <c r="I57" s="11" t="n">
        <v>246908.5</v>
      </c>
      <c r="J57" s="11" t="n">
        <v>215719</v>
      </c>
      <c r="K57" s="11" t="n">
        <v>143668</v>
      </c>
      <c r="L57" s="11" t="n">
        <v>136802</v>
      </c>
      <c r="M57" s="11" t="n">
        <v>140454.5</v>
      </c>
      <c r="N57" s="7">
        <f>SUM(B57:M57)</f>
        <v/>
      </c>
    </row>
    <row r="58">
      <c r="A58" s="8" t="inlineStr">
        <is>
          <t>Contribution margin (GP-B)</t>
        </is>
      </c>
      <c r="B58" s="9">
        <f>B55-B56-B57</f>
        <v/>
      </c>
      <c r="C58" s="9">
        <f>C55-C56-C57</f>
        <v/>
      </c>
      <c r="D58" s="9">
        <f>D55-D56-D57</f>
        <v/>
      </c>
      <c r="E58" s="9">
        <f>E55-E56-E57</f>
        <v/>
      </c>
      <c r="F58" s="9">
        <f>F55-F56-F57</f>
        <v/>
      </c>
      <c r="G58" s="9">
        <f>G55-G56-G57</f>
        <v/>
      </c>
      <c r="H58" s="9">
        <f>H55-H56-H57</f>
        <v/>
      </c>
      <c r="I58" s="9">
        <f>I55-I56-I57</f>
        <v/>
      </c>
      <c r="J58" s="9">
        <f>J55-J56-J57</f>
        <v/>
      </c>
      <c r="K58" s="9">
        <f>K55-K56-K57</f>
        <v/>
      </c>
      <c r="L58" s="9">
        <f>L55-L56-L57</f>
        <v/>
      </c>
      <c r="M58" s="9">
        <f>M55-M56-M57</f>
        <v/>
      </c>
      <c r="N58" s="9">
        <f>N55-N56-N57</f>
        <v/>
      </c>
    </row>
    <row r="59">
      <c r="A59" s="5" t="inlineStr">
        <is>
          <t>Waste cost</t>
        </is>
      </c>
      <c r="B59" s="11" t="n">
        <v>7814.13</v>
      </c>
      <c r="C59" s="11" t="n">
        <v>8918.067554945055</v>
      </c>
      <c r="D59" s="11" t="n">
        <v>10533.4</v>
      </c>
      <c r="E59" s="11" t="n">
        <v>10806</v>
      </c>
      <c r="F59" s="11" t="n">
        <v>11837.02</v>
      </c>
      <c r="G59" s="11" t="n">
        <v>11343.92</v>
      </c>
      <c r="H59" s="11" t="n">
        <v>34938.2989010989</v>
      </c>
      <c r="I59" s="11" t="n">
        <v>32468.7</v>
      </c>
      <c r="J59" s="11" t="n">
        <v>26215.91</v>
      </c>
      <c r="K59" s="11" t="n">
        <v>20458.64</v>
      </c>
      <c r="L59" s="11" t="n">
        <v>20009.12</v>
      </c>
      <c r="M59" s="11" t="n">
        <v>21076.13</v>
      </c>
      <c r="N59" s="7">
        <f>SUM(B59:M59)</f>
        <v/>
      </c>
    </row>
    <row r="60">
      <c r="A60" s="8" t="inlineStr">
        <is>
          <t>Gross profit (GP-C)</t>
        </is>
      </c>
      <c r="B60" s="9">
        <f>B58-B59</f>
        <v/>
      </c>
      <c r="C60" s="9">
        <f>C58-C59</f>
        <v/>
      </c>
      <c r="D60" s="9">
        <f>D58-D59</f>
        <v/>
      </c>
      <c r="E60" s="9">
        <f>E58-E59</f>
        <v/>
      </c>
      <c r="F60" s="9">
        <f>F58-F59</f>
        <v/>
      </c>
      <c r="G60" s="9">
        <f>G58-G59</f>
        <v/>
      </c>
      <c r="H60" s="9">
        <f>H58-H59</f>
        <v/>
      </c>
      <c r="I60" s="9">
        <f>I58-I59</f>
        <v/>
      </c>
      <c r="J60" s="9">
        <f>J58-J59</f>
        <v/>
      </c>
      <c r="K60" s="9">
        <f>K58-K59</f>
        <v/>
      </c>
      <c r="L60" s="9">
        <f>L58-L59</f>
        <v/>
      </c>
      <c r="M60" s="9">
        <f>M58-M59</f>
        <v/>
      </c>
      <c r="N60" s="9">
        <f>N58-N59</f>
        <v/>
      </c>
    </row>
    <row r="61">
      <c r="A61" s="5" t="inlineStr">
        <is>
          <t>Kitchen overhead</t>
        </is>
      </c>
      <c r="B61" s="11" t="n">
        <v>150000</v>
      </c>
      <c r="C61" s="11" t="n">
        <v>150000</v>
      </c>
      <c r="D61" s="11" t="n">
        <v>150000</v>
      </c>
      <c r="E61" s="11" t="n">
        <v>150000</v>
      </c>
      <c r="F61" s="11" t="n">
        <v>150000</v>
      </c>
      <c r="G61" s="11" t="n">
        <v>150000</v>
      </c>
      <c r="H61" s="11" t="n">
        <v>150000</v>
      </c>
      <c r="I61" s="11" t="n">
        <v>150000</v>
      </c>
      <c r="J61" s="11" t="n">
        <v>150000</v>
      </c>
      <c r="K61" s="11" t="n">
        <v>150000</v>
      </c>
      <c r="L61" s="11" t="n">
        <v>150000</v>
      </c>
      <c r="M61" s="11" t="n">
        <v>150000</v>
      </c>
      <c r="N61" s="7">
        <f>SUM(B61:M61)</f>
        <v/>
      </c>
    </row>
    <row r="62">
      <c r="A62" s="8" t="inlineStr">
        <is>
          <t>Operating profit</t>
        </is>
      </c>
      <c r="B62" s="9">
        <f>B60-B61</f>
        <v/>
      </c>
      <c r="C62" s="9">
        <f>C60-C61</f>
        <v/>
      </c>
      <c r="D62" s="9">
        <f>D60-D61</f>
        <v/>
      </c>
      <c r="E62" s="9">
        <f>E60-E61</f>
        <v/>
      </c>
      <c r="F62" s="9">
        <f>F60-F61</f>
        <v/>
      </c>
      <c r="G62" s="9">
        <f>G60-G61</f>
        <v/>
      </c>
      <c r="H62" s="9">
        <f>H60-H61</f>
        <v/>
      </c>
      <c r="I62" s="9">
        <f>I60-I61</f>
        <v/>
      </c>
      <c r="J62" s="9">
        <f>J60-J61</f>
        <v/>
      </c>
      <c r="K62" s="9">
        <f>K60-K61</f>
        <v/>
      </c>
      <c r="L62" s="9">
        <f>L60-L61</f>
        <v/>
      </c>
      <c r="M62" s="9">
        <f>M60-M61</f>
        <v/>
      </c>
      <c r="N62" s="9">
        <f>N60-N61</f>
        <v/>
      </c>
    </row>
    <row r="63">
      <c r="A63" s="5" t="inlineStr">
        <is>
          <t>GP-C % of gross revenue</t>
        </is>
      </c>
      <c r="B63" s="10">
        <f>IFERROR(B60/B53,0)</f>
        <v/>
      </c>
      <c r="C63" s="10">
        <f>IFERROR(C60/C53,0)</f>
        <v/>
      </c>
      <c r="D63" s="10">
        <f>IFERROR(D60/D53,0)</f>
        <v/>
      </c>
      <c r="E63" s="10">
        <f>IFERROR(E60/E53,0)</f>
        <v/>
      </c>
      <c r="F63" s="10">
        <f>IFERROR(F60/F53,0)</f>
        <v/>
      </c>
      <c r="G63" s="10">
        <f>IFERROR(G60/G53,0)</f>
        <v/>
      </c>
      <c r="H63" s="10">
        <f>IFERROR(H60/H53,0)</f>
        <v/>
      </c>
      <c r="I63" s="10">
        <f>IFERROR(I60/I53,0)</f>
        <v/>
      </c>
      <c r="J63" s="10">
        <f>IFERROR(J60/J53,0)</f>
        <v/>
      </c>
      <c r="K63" s="10">
        <f>IFERROR(K60/K53,0)</f>
        <v/>
      </c>
      <c r="L63" s="10">
        <f>IFERROR(L60/L53,0)</f>
        <v/>
      </c>
      <c r="M63" s="10">
        <f>IFERROR(M60/M53,0)</f>
        <v/>
      </c>
      <c r="N63" s="10">
        <f>IFERROR(N60/N53,0)</f>
        <v/>
      </c>
    </row>
    <row r="64">
      <c r="A64" s="5" t="inlineStr">
        <is>
          <t>Operating margin %</t>
        </is>
      </c>
      <c r="B64" s="10">
        <f>IFERROR(B62/B53,0)</f>
        <v/>
      </c>
      <c r="C64" s="10">
        <f>IFERROR(C62/C53,0)</f>
        <v/>
      </c>
      <c r="D64" s="10">
        <f>IFERROR(D62/D53,0)</f>
        <v/>
      </c>
      <c r="E64" s="10">
        <f>IFERROR(E62/E53,0)</f>
        <v/>
      </c>
      <c r="F64" s="10">
        <f>IFERROR(F62/F53,0)</f>
        <v/>
      </c>
      <c r="G64" s="10">
        <f>IFERROR(G62/G53,0)</f>
        <v/>
      </c>
      <c r="H64" s="10">
        <f>IFERROR(H62/H53,0)</f>
        <v/>
      </c>
      <c r="I64" s="10">
        <f>IFERROR(I62/I53,0)</f>
        <v/>
      </c>
      <c r="J64" s="10">
        <f>IFERROR(J62/J53,0)</f>
        <v/>
      </c>
      <c r="K64" s="10">
        <f>IFERROR(K62/K53,0)</f>
        <v/>
      </c>
      <c r="L64" s="10">
        <f>IFERROR(L62/L53,0)</f>
        <v/>
      </c>
      <c r="M64" s="10">
        <f>IFERROR(M62/M53,0)</f>
        <v/>
      </c>
      <c r="N64" s="10">
        <f>IFERROR(N62/N53,0)</f>
        <v/>
      </c>
    </row>
    <row r="65">
      <c r="A65" s="5" t="inlineStr">
        <is>
          <t>Commission % of gross revenue</t>
        </is>
      </c>
      <c r="B65" s="10">
        <f>IFERROR(B54/B53,0)</f>
        <v/>
      </c>
      <c r="C65" s="10">
        <f>IFERROR(C54/C53,0)</f>
        <v/>
      </c>
      <c r="D65" s="10">
        <f>IFERROR(D54/D53,0)</f>
        <v/>
      </c>
      <c r="E65" s="10">
        <f>IFERROR(E54/E53,0)</f>
        <v/>
      </c>
      <c r="F65" s="10">
        <f>IFERROR(F54/F53,0)</f>
        <v/>
      </c>
      <c r="G65" s="10">
        <f>IFERROR(G54/G53,0)</f>
        <v/>
      </c>
      <c r="H65" s="10">
        <f>IFERROR(H54/H53,0)</f>
        <v/>
      </c>
      <c r="I65" s="10">
        <f>IFERROR(I54/I53,0)</f>
        <v/>
      </c>
      <c r="J65" s="10">
        <f>IFERROR(J54/J53,0)</f>
        <v/>
      </c>
      <c r="K65" s="10">
        <f>IFERROR(K54/K53,0)</f>
        <v/>
      </c>
      <c r="L65" s="10">
        <f>IFERROR(L54/L53,0)</f>
        <v/>
      </c>
      <c r="M65" s="10">
        <f>IFERROR(M54/M53,0)</f>
        <v/>
      </c>
      <c r="N65" s="10">
        <f>IFERROR(N54/N53,0)</f>
        <v/>
      </c>
    </row>
    <row r="66">
      <c r="A66" s="5" t="inlineStr">
        <is>
          <t>Fruit % of gross revenue</t>
        </is>
      </c>
      <c r="B66" s="10">
        <f>IFERROR(B56/B53,0)</f>
        <v/>
      </c>
      <c r="C66" s="10">
        <f>IFERROR(C56/C53,0)</f>
        <v/>
      </c>
      <c r="D66" s="10">
        <f>IFERROR(D56/D53,0)</f>
        <v/>
      </c>
      <c r="E66" s="10">
        <f>IFERROR(E56/E53,0)</f>
        <v/>
      </c>
      <c r="F66" s="10">
        <f>IFERROR(F56/F53,0)</f>
        <v/>
      </c>
      <c r="G66" s="10">
        <f>IFERROR(G56/G53,0)</f>
        <v/>
      </c>
      <c r="H66" s="10">
        <f>IFERROR(H56/H53,0)</f>
        <v/>
      </c>
      <c r="I66" s="10">
        <f>IFERROR(I56/I53,0)</f>
        <v/>
      </c>
      <c r="J66" s="10">
        <f>IFERROR(J56/J53,0)</f>
        <v/>
      </c>
      <c r="K66" s="10">
        <f>IFERROR(K56/K53,0)</f>
        <v/>
      </c>
      <c r="L66" s="10">
        <f>IFERROR(L56/L53,0)</f>
        <v/>
      </c>
      <c r="M66" s="10">
        <f>IFERROR(M56/M53,0)</f>
        <v/>
      </c>
      <c r="N66" s="10">
        <f>IFERROR(N56/N53,0)</f>
        <v/>
      </c>
    </row>
    <row r="67">
      <c r="A67" s="5" t="inlineStr">
        <is>
          <t>Waste % of gross revenue</t>
        </is>
      </c>
      <c r="B67" s="10">
        <f>IFERROR(B59/B53,0)</f>
        <v/>
      </c>
      <c r="C67" s="10">
        <f>IFERROR(C59/C53,0)</f>
        <v/>
      </c>
      <c r="D67" s="10">
        <f>IFERROR(D59/D53,0)</f>
        <v/>
      </c>
      <c r="E67" s="10">
        <f>IFERROR(E59/E53,0)</f>
        <v/>
      </c>
      <c r="F67" s="10">
        <f>IFERROR(F59/F53,0)</f>
        <v/>
      </c>
      <c r="G67" s="10">
        <f>IFERROR(G59/G53,0)</f>
        <v/>
      </c>
      <c r="H67" s="10">
        <f>IFERROR(H59/H53,0)</f>
        <v/>
      </c>
      <c r="I67" s="10">
        <f>IFERROR(I59/I53,0)</f>
        <v/>
      </c>
      <c r="J67" s="10">
        <f>IFERROR(J59/J53,0)</f>
        <v/>
      </c>
      <c r="K67" s="10">
        <f>IFERROR(K59/K53,0)</f>
        <v/>
      </c>
      <c r="L67" s="10">
        <f>IFERROR(L59/L53,0)</f>
        <v/>
      </c>
      <c r="M67" s="10">
        <f>IFERROR(M59/M53,0)</f>
        <v/>
      </c>
      <c r="N67" s="10">
        <f>IFERROR(N59/N53,0)</f>
        <v/>
      </c>
    </row>
    <row r="70">
      <c r="A70" s="8" t="inlineStr">
        <is>
          <t>Pattaya_Central</t>
        </is>
      </c>
    </row>
    <row r="71">
      <c r="A71" s="3" t="inlineStr">
        <is>
          <t>Line</t>
        </is>
      </c>
      <c r="B71" s="4" t="inlineStr">
        <is>
          <t>2025-09</t>
        </is>
      </c>
      <c r="C71" s="4" t="inlineStr">
        <is>
          <t>2025-10</t>
        </is>
      </c>
      <c r="D71" s="4" t="inlineStr">
        <is>
          <t>2025-11</t>
        </is>
      </c>
      <c r="E71" s="4" t="inlineStr">
        <is>
          <t>2025-12</t>
        </is>
      </c>
      <c r="F71" s="4" t="inlineStr">
        <is>
          <t>2026-01</t>
        </is>
      </c>
      <c r="G71" s="4" t="inlineStr">
        <is>
          <t>2026-02</t>
        </is>
      </c>
      <c r="H71" s="4" t="inlineStr">
        <is>
          <t>2026-03</t>
        </is>
      </c>
      <c r="I71" s="4" t="inlineStr">
        <is>
          <t>2026-04</t>
        </is>
      </c>
      <c r="J71" s="4" t="inlineStr">
        <is>
          <t>2026-05</t>
        </is>
      </c>
      <c r="K71" s="4" t="inlineStr">
        <is>
          <t>2026-06</t>
        </is>
      </c>
      <c r="L71" s="4" t="inlineStr">
        <is>
          <t>2026-07</t>
        </is>
      </c>
      <c r="M71" s="4" t="inlineStr">
        <is>
          <t>2026-08</t>
        </is>
      </c>
      <c r="N71" s="4" t="inlineStr">
        <is>
          <t>FY</t>
        </is>
      </c>
    </row>
    <row r="72">
      <c r="A72" s="5" t="inlineStr">
        <is>
          <t>Cups sold</t>
        </is>
      </c>
      <c r="B72" s="11" t="n">
        <v>12863</v>
      </c>
      <c r="C72" s="11" t="n">
        <v>13165</v>
      </c>
      <c r="D72" s="11" t="n">
        <v>15162</v>
      </c>
      <c r="E72" s="11" t="n">
        <v>16315</v>
      </c>
      <c r="F72" s="11" t="n">
        <v>16467</v>
      </c>
      <c r="G72" s="11" t="n">
        <v>15685</v>
      </c>
      <c r="H72" s="11" t="n">
        <v>21864</v>
      </c>
      <c r="I72" s="11" t="n">
        <v>25419</v>
      </c>
      <c r="J72" s="11" t="n">
        <v>22112</v>
      </c>
      <c r="K72" s="11" t="n">
        <v>14682</v>
      </c>
      <c r="L72" s="11" t="n">
        <v>14297</v>
      </c>
      <c r="M72" s="11" t="n">
        <v>14326</v>
      </c>
      <c r="N72" s="7">
        <f>SUM(B72:M72)</f>
        <v/>
      </c>
    </row>
    <row r="73">
      <c r="A73" s="5" t="inlineStr">
        <is>
          <t>List revenue</t>
        </is>
      </c>
      <c r="B73" s="11" t="n">
        <v>637675</v>
      </c>
      <c r="C73" s="11" t="n">
        <v>652833</v>
      </c>
      <c r="D73" s="11" t="n">
        <v>752018</v>
      </c>
      <c r="E73" s="11" t="n">
        <v>808191</v>
      </c>
      <c r="F73" s="11" t="n">
        <v>816899</v>
      </c>
      <c r="G73" s="11" t="n">
        <v>778425</v>
      </c>
      <c r="H73" s="11" t="n">
        <v>1183716</v>
      </c>
      <c r="I73" s="11" t="n">
        <v>1342707</v>
      </c>
      <c r="J73" s="11" t="n">
        <v>1163272</v>
      </c>
      <c r="K73" s="11" t="n">
        <v>769310</v>
      </c>
      <c r="L73" s="11" t="n">
        <v>745237</v>
      </c>
      <c r="M73" s="11" t="n">
        <v>741698</v>
      </c>
      <c r="N73" s="7">
        <f>SUM(B73:M73)</f>
        <v/>
      </c>
    </row>
    <row r="74">
      <c r="A74" s="5" t="inlineStr">
        <is>
          <t>Discount</t>
        </is>
      </c>
      <c r="B74" s="11" t="n">
        <v>17175.64</v>
      </c>
      <c r="C74" s="11" t="n">
        <v>14724.23</v>
      </c>
      <c r="D74" s="11" t="n">
        <v>8896.549999999999</v>
      </c>
      <c r="E74" s="11" t="n">
        <v>11036.65</v>
      </c>
      <c r="F74" s="11" t="n">
        <v>10106.75</v>
      </c>
      <c r="G74" s="11" t="n">
        <v>14517.75</v>
      </c>
      <c r="H74" s="11" t="n">
        <v>15040.6</v>
      </c>
      <c r="I74" s="11" t="n">
        <v>21084.3</v>
      </c>
      <c r="J74" s="11" t="n">
        <v>19401.2</v>
      </c>
      <c r="K74" s="11" t="n">
        <v>20973.52</v>
      </c>
      <c r="L74" s="11" t="n">
        <v>18587.18</v>
      </c>
      <c r="M74" s="11" t="n">
        <v>19411.76</v>
      </c>
      <c r="N74" s="7">
        <f>SUM(B74:M74)</f>
        <v/>
      </c>
    </row>
    <row r="75">
      <c r="A75" s="8" t="inlineStr">
        <is>
          <t>Gross revenue</t>
        </is>
      </c>
      <c r="B75" s="9">
        <f>B73-B74</f>
        <v/>
      </c>
      <c r="C75" s="9">
        <f>C73-C74</f>
        <v/>
      </c>
      <c r="D75" s="9">
        <f>D73-D74</f>
        <v/>
      </c>
      <c r="E75" s="9">
        <f>E73-E74</f>
        <v/>
      </c>
      <c r="F75" s="9">
        <f>F73-F74</f>
        <v/>
      </c>
      <c r="G75" s="9">
        <f>G73-G74</f>
        <v/>
      </c>
      <c r="H75" s="9">
        <f>H73-H74</f>
        <v/>
      </c>
      <c r="I75" s="9">
        <f>I73-I74</f>
        <v/>
      </c>
      <c r="J75" s="9">
        <f>J73-J74</f>
        <v/>
      </c>
      <c r="K75" s="9">
        <f>K73-K74</f>
        <v/>
      </c>
      <c r="L75" s="9">
        <f>L73-L74</f>
        <v/>
      </c>
      <c r="M75" s="9">
        <f>M73-M74</f>
        <v/>
      </c>
      <c r="N75" s="9">
        <f>N73-N74</f>
        <v/>
      </c>
    </row>
    <row r="76">
      <c r="A76" s="5" t="inlineStr">
        <is>
          <t>Commission</t>
        </is>
      </c>
      <c r="B76" s="11" t="n">
        <v>168961.6008</v>
      </c>
      <c r="C76" s="11" t="n">
        <v>176252.8686</v>
      </c>
      <c r="D76" s="11" t="n">
        <v>202008.735</v>
      </c>
      <c r="E76" s="11" t="n">
        <v>215799.945</v>
      </c>
      <c r="F76" s="11" t="n">
        <v>219848.028</v>
      </c>
      <c r="G76" s="11" t="n">
        <v>208228.095</v>
      </c>
      <c r="H76" s="11" t="n">
        <v>318214.656</v>
      </c>
      <c r="I76" s="11" t="n">
        <v>363361.266</v>
      </c>
      <c r="J76" s="11" t="n">
        <v>313568.49</v>
      </c>
      <c r="K76" s="11" t="n">
        <v>206575.467</v>
      </c>
      <c r="L76" s="11" t="n">
        <v>197297.7444</v>
      </c>
      <c r="M76" s="11" t="n">
        <v>196534.1568</v>
      </c>
      <c r="N76" s="7">
        <f>SUM(B76:M76)</f>
        <v/>
      </c>
    </row>
    <row r="77">
      <c r="A77" s="8" t="inlineStr">
        <is>
          <t>Net revenue</t>
        </is>
      </c>
      <c r="B77" s="9">
        <f>B75-B76</f>
        <v/>
      </c>
      <c r="C77" s="9">
        <f>C75-C76</f>
        <v/>
      </c>
      <c r="D77" s="9">
        <f>D75-D76</f>
        <v/>
      </c>
      <c r="E77" s="9">
        <f>E75-E76</f>
        <v/>
      </c>
      <c r="F77" s="9">
        <f>F75-F76</f>
        <v/>
      </c>
      <c r="G77" s="9">
        <f>G75-G76</f>
        <v/>
      </c>
      <c r="H77" s="9">
        <f>H75-H76</f>
        <v/>
      </c>
      <c r="I77" s="9">
        <f>I75-I76</f>
        <v/>
      </c>
      <c r="J77" s="9">
        <f>J75-J76</f>
        <v/>
      </c>
      <c r="K77" s="9">
        <f>K75-K76</f>
        <v/>
      </c>
      <c r="L77" s="9">
        <f>L75-L76</f>
        <v/>
      </c>
      <c r="M77" s="9">
        <f>M75-M76</f>
        <v/>
      </c>
      <c r="N77" s="9">
        <f>N75-N76</f>
        <v/>
      </c>
    </row>
    <row r="78">
      <c r="A78" s="5" t="inlineStr">
        <is>
          <t>Fruit cost</t>
        </is>
      </c>
      <c r="B78" s="11" t="n">
        <v>132732.88</v>
      </c>
      <c r="C78" s="11" t="n">
        <v>134270.55</v>
      </c>
      <c r="D78" s="11" t="n">
        <v>153498.05</v>
      </c>
      <c r="E78" s="11" t="n">
        <v>166222.6</v>
      </c>
      <c r="F78" s="11" t="n">
        <v>165510.75</v>
      </c>
      <c r="G78" s="11" t="n">
        <v>159354.99</v>
      </c>
      <c r="H78" s="11" t="n">
        <v>278728.25</v>
      </c>
      <c r="I78" s="11" t="n">
        <v>290154.16</v>
      </c>
      <c r="J78" s="11" t="n">
        <v>253369.04</v>
      </c>
      <c r="K78" s="11" t="n">
        <v>195888.71</v>
      </c>
      <c r="L78" s="11" t="n">
        <v>195043.26</v>
      </c>
      <c r="M78" s="11" t="n">
        <v>198106.99</v>
      </c>
      <c r="N78" s="7">
        <f>SUM(B78:M78)</f>
        <v/>
      </c>
    </row>
    <row r="79">
      <c r="A79" s="5" t="inlineStr">
        <is>
          <t>Packaging + labor</t>
        </is>
      </c>
      <c r="B79" s="11" t="n">
        <v>144398</v>
      </c>
      <c r="C79" s="11" t="n">
        <v>147773</v>
      </c>
      <c r="D79" s="11" t="n">
        <v>170187.5</v>
      </c>
      <c r="E79" s="11" t="n">
        <v>183128</v>
      </c>
      <c r="F79" s="11" t="n">
        <v>184896</v>
      </c>
      <c r="G79" s="11" t="n">
        <v>176086.5</v>
      </c>
      <c r="H79" s="11" t="n">
        <v>254968</v>
      </c>
      <c r="I79" s="11" t="n">
        <v>293207.5</v>
      </c>
      <c r="J79" s="11" t="n">
        <v>254727.5</v>
      </c>
      <c r="K79" s="11" t="n">
        <v>168897</v>
      </c>
      <c r="L79" s="11" t="n">
        <v>164006.5</v>
      </c>
      <c r="M79" s="11" t="n">
        <v>163841.5</v>
      </c>
      <c r="N79" s="7">
        <f>SUM(B79:M79)</f>
        <v/>
      </c>
    </row>
    <row r="80">
      <c r="A80" s="8" t="inlineStr">
        <is>
          <t>Contribution margin (GP-B)</t>
        </is>
      </c>
      <c r="B80" s="9">
        <f>B77-B78-B79</f>
        <v/>
      </c>
      <c r="C80" s="9">
        <f>C77-C78-C79</f>
        <v/>
      </c>
      <c r="D80" s="9">
        <f>D77-D78-D79</f>
        <v/>
      </c>
      <c r="E80" s="9">
        <f>E77-E78-E79</f>
        <v/>
      </c>
      <c r="F80" s="9">
        <f>F77-F78-F79</f>
        <v/>
      </c>
      <c r="G80" s="9">
        <f>G77-G78-G79</f>
        <v/>
      </c>
      <c r="H80" s="9">
        <f>H77-H78-H79</f>
        <v/>
      </c>
      <c r="I80" s="9">
        <f>I77-I78-I79</f>
        <v/>
      </c>
      <c r="J80" s="9">
        <f>J77-J78-J79</f>
        <v/>
      </c>
      <c r="K80" s="9">
        <f>K77-K78-K79</f>
        <v/>
      </c>
      <c r="L80" s="9">
        <f>L77-L78-L79</f>
        <v/>
      </c>
      <c r="M80" s="9">
        <f>M77-M78-M79</f>
        <v/>
      </c>
      <c r="N80" s="9">
        <f>N77-N78-N79</f>
        <v/>
      </c>
    </row>
    <row r="81">
      <c r="A81" s="5" t="inlineStr">
        <is>
          <t>Waste cost</t>
        </is>
      </c>
      <c r="B81" s="11" t="n">
        <v>10394.77</v>
      </c>
      <c r="C81" s="11" t="n">
        <v>10891.39</v>
      </c>
      <c r="D81" s="11" t="n">
        <v>12188.72</v>
      </c>
      <c r="E81" s="11" t="n">
        <v>13381.63</v>
      </c>
      <c r="F81" s="11" t="n">
        <v>13640</v>
      </c>
      <c r="G81" s="11" t="n">
        <v>12454.46</v>
      </c>
      <c r="H81" s="11" t="n">
        <v>39459.03</v>
      </c>
      <c r="I81" s="11" t="n">
        <v>37885.79</v>
      </c>
      <c r="J81" s="11" t="n">
        <v>33658.68</v>
      </c>
      <c r="K81" s="11" t="n">
        <v>24552.39</v>
      </c>
      <c r="L81" s="11" t="n">
        <v>23205.38</v>
      </c>
      <c r="M81" s="11" t="n">
        <v>22238.77</v>
      </c>
      <c r="N81" s="7">
        <f>SUM(B81:M81)</f>
        <v/>
      </c>
    </row>
    <row r="82">
      <c r="A82" s="8" t="inlineStr">
        <is>
          <t>Gross profit (GP-C)</t>
        </is>
      </c>
      <c r="B82" s="9">
        <f>B80-B81</f>
        <v/>
      </c>
      <c r="C82" s="9">
        <f>C80-C81</f>
        <v/>
      </c>
      <c r="D82" s="9">
        <f>D80-D81</f>
        <v/>
      </c>
      <c r="E82" s="9">
        <f>E80-E81</f>
        <v/>
      </c>
      <c r="F82" s="9">
        <f>F80-F81</f>
        <v/>
      </c>
      <c r="G82" s="9">
        <f>G80-G81</f>
        <v/>
      </c>
      <c r="H82" s="9">
        <f>H80-H81</f>
        <v/>
      </c>
      <c r="I82" s="9">
        <f>I80-I81</f>
        <v/>
      </c>
      <c r="J82" s="9">
        <f>J80-J81</f>
        <v/>
      </c>
      <c r="K82" s="9">
        <f>K80-K81</f>
        <v/>
      </c>
      <c r="L82" s="9">
        <f>L80-L81</f>
        <v/>
      </c>
      <c r="M82" s="9">
        <f>M80-M81</f>
        <v/>
      </c>
      <c r="N82" s="9">
        <f>N80-N81</f>
        <v/>
      </c>
    </row>
    <row r="83">
      <c r="A83" s="5" t="inlineStr">
        <is>
          <t>Kitchen overhead</t>
        </is>
      </c>
      <c r="B83" s="11" t="n">
        <v>180000</v>
      </c>
      <c r="C83" s="11" t="n">
        <v>180000</v>
      </c>
      <c r="D83" s="11" t="n">
        <v>180000</v>
      </c>
      <c r="E83" s="11" t="n">
        <v>180000</v>
      </c>
      <c r="F83" s="11" t="n">
        <v>180000</v>
      </c>
      <c r="G83" s="11" t="n">
        <v>180000</v>
      </c>
      <c r="H83" s="11" t="n">
        <v>180000</v>
      </c>
      <c r="I83" s="11" t="n">
        <v>180000</v>
      </c>
      <c r="J83" s="11" t="n">
        <v>180000</v>
      </c>
      <c r="K83" s="11" t="n">
        <v>180000</v>
      </c>
      <c r="L83" s="11" t="n">
        <v>180000</v>
      </c>
      <c r="M83" s="11" t="n">
        <v>180000</v>
      </c>
      <c r="N83" s="7">
        <f>SUM(B83:M83)</f>
        <v/>
      </c>
    </row>
    <row r="84">
      <c r="A84" s="8" t="inlineStr">
        <is>
          <t>Operating profit</t>
        </is>
      </c>
      <c r="B84" s="9">
        <f>B82-B83</f>
        <v/>
      </c>
      <c r="C84" s="9">
        <f>C82-C83</f>
        <v/>
      </c>
      <c r="D84" s="9">
        <f>D82-D83</f>
        <v/>
      </c>
      <c r="E84" s="9">
        <f>E82-E83</f>
        <v/>
      </c>
      <c r="F84" s="9">
        <f>F82-F83</f>
        <v/>
      </c>
      <c r="G84" s="9">
        <f>G82-G83</f>
        <v/>
      </c>
      <c r="H84" s="9">
        <f>H82-H83</f>
        <v/>
      </c>
      <c r="I84" s="9">
        <f>I82-I83</f>
        <v/>
      </c>
      <c r="J84" s="9">
        <f>J82-J83</f>
        <v/>
      </c>
      <c r="K84" s="9">
        <f>K82-K83</f>
        <v/>
      </c>
      <c r="L84" s="9">
        <f>L82-L83</f>
        <v/>
      </c>
      <c r="M84" s="9">
        <f>M82-M83</f>
        <v/>
      </c>
      <c r="N84" s="9">
        <f>N82-N83</f>
        <v/>
      </c>
    </row>
    <row r="85">
      <c r="A85" s="5" t="inlineStr">
        <is>
          <t>GP-C % of gross revenue</t>
        </is>
      </c>
      <c r="B85" s="10">
        <f>IFERROR(B82/B75,0)</f>
        <v/>
      </c>
      <c r="C85" s="10">
        <f>IFERROR(C82/C75,0)</f>
        <v/>
      </c>
      <c r="D85" s="10">
        <f>IFERROR(D82/D75,0)</f>
        <v/>
      </c>
      <c r="E85" s="10">
        <f>IFERROR(E82/E75,0)</f>
        <v/>
      </c>
      <c r="F85" s="10">
        <f>IFERROR(F82/F75,0)</f>
        <v/>
      </c>
      <c r="G85" s="10">
        <f>IFERROR(G82/G75,0)</f>
        <v/>
      </c>
      <c r="H85" s="10">
        <f>IFERROR(H82/H75,0)</f>
        <v/>
      </c>
      <c r="I85" s="10">
        <f>IFERROR(I82/I75,0)</f>
        <v/>
      </c>
      <c r="J85" s="10">
        <f>IFERROR(J82/J75,0)</f>
        <v/>
      </c>
      <c r="K85" s="10">
        <f>IFERROR(K82/K75,0)</f>
        <v/>
      </c>
      <c r="L85" s="10">
        <f>IFERROR(L82/L75,0)</f>
        <v/>
      </c>
      <c r="M85" s="10">
        <f>IFERROR(M82/M75,0)</f>
        <v/>
      </c>
      <c r="N85" s="10">
        <f>IFERROR(N82/N75,0)</f>
        <v/>
      </c>
    </row>
    <row r="86">
      <c r="A86" s="5" t="inlineStr">
        <is>
          <t>Operating margin %</t>
        </is>
      </c>
      <c r="B86" s="10">
        <f>IFERROR(B84/B75,0)</f>
        <v/>
      </c>
      <c r="C86" s="10">
        <f>IFERROR(C84/C75,0)</f>
        <v/>
      </c>
      <c r="D86" s="10">
        <f>IFERROR(D84/D75,0)</f>
        <v/>
      </c>
      <c r="E86" s="10">
        <f>IFERROR(E84/E75,0)</f>
        <v/>
      </c>
      <c r="F86" s="10">
        <f>IFERROR(F84/F75,0)</f>
        <v/>
      </c>
      <c r="G86" s="10">
        <f>IFERROR(G84/G75,0)</f>
        <v/>
      </c>
      <c r="H86" s="10">
        <f>IFERROR(H84/H75,0)</f>
        <v/>
      </c>
      <c r="I86" s="10">
        <f>IFERROR(I84/I75,0)</f>
        <v/>
      </c>
      <c r="J86" s="10">
        <f>IFERROR(J84/J75,0)</f>
        <v/>
      </c>
      <c r="K86" s="10">
        <f>IFERROR(K84/K75,0)</f>
        <v/>
      </c>
      <c r="L86" s="10">
        <f>IFERROR(L84/L75,0)</f>
        <v/>
      </c>
      <c r="M86" s="10">
        <f>IFERROR(M84/M75,0)</f>
        <v/>
      </c>
      <c r="N86" s="10">
        <f>IFERROR(N84/N75,0)</f>
        <v/>
      </c>
    </row>
    <row r="87">
      <c r="A87" s="5" t="inlineStr">
        <is>
          <t>Commission % of gross revenue</t>
        </is>
      </c>
      <c r="B87" s="10">
        <f>IFERROR(B76/B75,0)</f>
        <v/>
      </c>
      <c r="C87" s="10">
        <f>IFERROR(C76/C75,0)</f>
        <v/>
      </c>
      <c r="D87" s="10">
        <f>IFERROR(D76/D75,0)</f>
        <v/>
      </c>
      <c r="E87" s="10">
        <f>IFERROR(E76/E75,0)</f>
        <v/>
      </c>
      <c r="F87" s="10">
        <f>IFERROR(F76/F75,0)</f>
        <v/>
      </c>
      <c r="G87" s="10">
        <f>IFERROR(G76/G75,0)</f>
        <v/>
      </c>
      <c r="H87" s="10">
        <f>IFERROR(H76/H75,0)</f>
        <v/>
      </c>
      <c r="I87" s="10">
        <f>IFERROR(I76/I75,0)</f>
        <v/>
      </c>
      <c r="J87" s="10">
        <f>IFERROR(J76/J75,0)</f>
        <v/>
      </c>
      <c r="K87" s="10">
        <f>IFERROR(K76/K75,0)</f>
        <v/>
      </c>
      <c r="L87" s="10">
        <f>IFERROR(L76/L75,0)</f>
        <v/>
      </c>
      <c r="M87" s="10">
        <f>IFERROR(M76/M75,0)</f>
        <v/>
      </c>
      <c r="N87" s="10">
        <f>IFERROR(N76/N75,0)</f>
        <v/>
      </c>
    </row>
    <row r="88">
      <c r="A88" s="5" t="inlineStr">
        <is>
          <t>Fruit % of gross revenue</t>
        </is>
      </c>
      <c r="B88" s="10">
        <f>IFERROR(B78/B75,0)</f>
        <v/>
      </c>
      <c r="C88" s="10">
        <f>IFERROR(C78/C75,0)</f>
        <v/>
      </c>
      <c r="D88" s="10">
        <f>IFERROR(D78/D75,0)</f>
        <v/>
      </c>
      <c r="E88" s="10">
        <f>IFERROR(E78/E75,0)</f>
        <v/>
      </c>
      <c r="F88" s="10">
        <f>IFERROR(F78/F75,0)</f>
        <v/>
      </c>
      <c r="G88" s="10">
        <f>IFERROR(G78/G75,0)</f>
        <v/>
      </c>
      <c r="H88" s="10">
        <f>IFERROR(H78/H75,0)</f>
        <v/>
      </c>
      <c r="I88" s="10">
        <f>IFERROR(I78/I75,0)</f>
        <v/>
      </c>
      <c r="J88" s="10">
        <f>IFERROR(J78/J75,0)</f>
        <v/>
      </c>
      <c r="K88" s="10">
        <f>IFERROR(K78/K75,0)</f>
        <v/>
      </c>
      <c r="L88" s="10">
        <f>IFERROR(L78/L75,0)</f>
        <v/>
      </c>
      <c r="M88" s="10">
        <f>IFERROR(M78/M75,0)</f>
        <v/>
      </c>
      <c r="N88" s="10">
        <f>IFERROR(N78/N75,0)</f>
        <v/>
      </c>
    </row>
    <row r="89">
      <c r="A89" s="5" t="inlineStr">
        <is>
          <t>Waste % of gross revenue</t>
        </is>
      </c>
      <c r="B89" s="10">
        <f>IFERROR(B81/B75,0)</f>
        <v/>
      </c>
      <c r="C89" s="10">
        <f>IFERROR(C81/C75,0)</f>
        <v/>
      </c>
      <c r="D89" s="10">
        <f>IFERROR(D81/D75,0)</f>
        <v/>
      </c>
      <c r="E89" s="10">
        <f>IFERROR(E81/E75,0)</f>
        <v/>
      </c>
      <c r="F89" s="10">
        <f>IFERROR(F81/F75,0)</f>
        <v/>
      </c>
      <c r="G89" s="10">
        <f>IFERROR(G81/G75,0)</f>
        <v/>
      </c>
      <c r="H89" s="10">
        <f>IFERROR(H81/H75,0)</f>
        <v/>
      </c>
      <c r="I89" s="10">
        <f>IFERROR(I81/I75,0)</f>
        <v/>
      </c>
      <c r="J89" s="10">
        <f>IFERROR(J81/J75,0)</f>
        <v/>
      </c>
      <c r="K89" s="10">
        <f>IFERROR(K81/K75,0)</f>
        <v/>
      </c>
      <c r="L89" s="10">
        <f>IFERROR(L81/L75,0)</f>
        <v/>
      </c>
      <c r="M89" s="10">
        <f>IFERROR(M81/M75,0)</f>
        <v/>
      </c>
      <c r="N89" s="10">
        <f>IFERROR(N81/N75,0)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Item x kitchen, full year Sep 2025 to Aug 2026, THB</t>
        </is>
      </c>
    </row>
    <row r="2">
      <c r="A2" s="2" t="inlineStr">
        <is>
          <t>Berry sells from 2026-03-01 only. No overhead here: items are judged on GP-C.</t>
        </is>
      </c>
    </row>
    <row r="4">
      <c r="A4" s="12" t="inlineStr">
        <is>
          <t>Kitchen</t>
        </is>
      </c>
      <c r="B4" s="12" t="inlineStr">
        <is>
          <t>Item</t>
        </is>
      </c>
      <c r="C4" s="12" t="inlineStr">
        <is>
          <t>Cups</t>
        </is>
      </c>
      <c r="D4" s="12" t="inlineStr">
        <is>
          <t>Gross revenue</t>
        </is>
      </c>
      <c r="E4" s="12" t="inlineStr">
        <is>
          <t>Commission</t>
        </is>
      </c>
      <c r="F4" s="12" t="inlineStr">
        <is>
          <t>Fruit</t>
        </is>
      </c>
      <c r="G4" s="12" t="inlineStr">
        <is>
          <t>Packaging + labor</t>
        </is>
      </c>
      <c r="H4" s="12" t="inlineStr">
        <is>
          <t>Waste cups</t>
        </is>
      </c>
      <c r="I4" s="12" t="inlineStr">
        <is>
          <t>Waste cost</t>
        </is>
      </c>
      <c r="J4" s="12" t="inlineStr">
        <is>
          <t>CM (GP-B)</t>
        </is>
      </c>
      <c r="K4" s="12" t="inlineStr">
        <is>
          <t>GP-C</t>
        </is>
      </c>
      <c r="L4" s="12" t="inlineStr">
        <is>
          <t>GP-C %</t>
        </is>
      </c>
      <c r="M4" s="12" t="inlineStr">
        <is>
          <t>GP-C per cup</t>
        </is>
      </c>
      <c r="N4" s="12" t="inlineStr">
        <is>
          <t>Waste rate %</t>
        </is>
      </c>
    </row>
    <row r="5">
      <c r="A5" s="5" t="inlineStr">
        <is>
          <t>BKK_Ladprao</t>
        </is>
      </c>
      <c r="B5" s="5" t="inlineStr">
        <is>
          <t>Guava</t>
        </is>
      </c>
      <c r="C5" s="11" t="n">
        <v>15141</v>
      </c>
      <c r="D5" s="11" t="n">
        <v>727969.48</v>
      </c>
      <c r="E5" s="11" t="n">
        <v>199778.5566</v>
      </c>
      <c r="F5" s="11" t="n">
        <v>140838.79</v>
      </c>
      <c r="G5" s="11" t="n">
        <v>174121.5</v>
      </c>
      <c r="H5" s="11" t="n">
        <v>1294</v>
      </c>
      <c r="I5" s="11" t="n">
        <v>19787.49</v>
      </c>
      <c r="J5" s="7">
        <f>D5-E5-F5-G5</f>
        <v/>
      </c>
      <c r="K5" s="7">
        <f>J5-I5</f>
        <v/>
      </c>
      <c r="L5" s="10">
        <f>IFERROR(K5/D5,0)</f>
        <v/>
      </c>
      <c r="M5" s="13">
        <f>IFERROR(K5/C5,0)</f>
        <v/>
      </c>
      <c r="N5" s="10">
        <f>IFERROR(H5/(C5+H5),0)</f>
        <v/>
      </c>
    </row>
    <row r="6">
      <c r="A6" s="5" t="inlineStr">
        <is>
          <t>BKK_Ladprao</t>
        </is>
      </c>
      <c r="B6" s="5" t="inlineStr">
        <is>
          <t>MixedBerryPremium</t>
        </is>
      </c>
      <c r="C6" s="11" t="n">
        <v>4163</v>
      </c>
      <c r="D6" s="11" t="n">
        <v>361628.36</v>
      </c>
      <c r="E6" s="11" t="n">
        <v>98924.67479999999</v>
      </c>
      <c r="F6" s="11" t="n">
        <v>158773.75</v>
      </c>
      <c r="G6" s="11" t="n">
        <v>62445</v>
      </c>
      <c r="H6" s="11" t="n">
        <v>1755</v>
      </c>
      <c r="I6" s="11" t="n">
        <v>80899.5</v>
      </c>
      <c r="J6" s="7">
        <f>D6-E6-F6-G6</f>
        <v/>
      </c>
      <c r="K6" s="7">
        <f>J6-I6</f>
        <v/>
      </c>
      <c r="L6" s="10">
        <f>IFERROR(K6/D6,0)</f>
        <v/>
      </c>
      <c r="M6" s="13">
        <f>IFERROR(K6/C6,0)</f>
        <v/>
      </c>
      <c r="N6" s="10">
        <f>IFERROR(H6/(C6+H6),0)</f>
        <v/>
      </c>
    </row>
    <row r="7">
      <c r="A7" s="5" t="inlineStr">
        <is>
          <t>BKK_Ladprao</t>
        </is>
      </c>
      <c r="B7" s="5" t="inlineStr">
        <is>
          <t>PassionFruit</t>
        </is>
      </c>
      <c r="C7" s="11" t="n">
        <v>11883</v>
      </c>
      <c r="D7" s="11" t="n">
        <v>758621.5</v>
      </c>
      <c r="E7" s="11" t="n">
        <v>206879.01</v>
      </c>
      <c r="F7" s="11" t="n">
        <v>241954.25</v>
      </c>
      <c r="G7" s="11" t="n">
        <v>142596</v>
      </c>
      <c r="H7" s="11" t="n">
        <v>1709</v>
      </c>
      <c r="I7" s="11" t="n">
        <v>45158.99</v>
      </c>
      <c r="J7" s="7">
        <f>D7-E7-F7-G7</f>
        <v/>
      </c>
      <c r="K7" s="7">
        <f>J7-I7</f>
        <v/>
      </c>
      <c r="L7" s="10">
        <f>IFERROR(K7/D7,0)</f>
        <v/>
      </c>
      <c r="M7" s="13">
        <f>IFERROR(K7/C7,0)</f>
        <v/>
      </c>
      <c r="N7" s="10">
        <f>IFERROR(H7/(C7+H7),0)</f>
        <v/>
      </c>
    </row>
    <row r="8">
      <c r="A8" s="5" t="inlineStr">
        <is>
          <t>BKK_Ladprao</t>
        </is>
      </c>
      <c r="B8" s="5" t="inlineStr">
        <is>
          <t>Pineapple</t>
        </is>
      </c>
      <c r="C8" s="11" t="n">
        <v>23933</v>
      </c>
      <c r="D8" s="11" t="n">
        <v>1153733.91</v>
      </c>
      <c r="E8" s="11" t="n">
        <v>314190.5382</v>
      </c>
      <c r="F8" s="11" t="n">
        <v>224672.24</v>
      </c>
      <c r="G8" s="11" t="n">
        <v>263263</v>
      </c>
      <c r="H8" s="11" t="n">
        <v>1673</v>
      </c>
      <c r="I8" s="11" t="n">
        <v>25793.33</v>
      </c>
      <c r="J8" s="7">
        <f>D8-E8-F8-G8</f>
        <v/>
      </c>
      <c r="K8" s="7">
        <f>J8-I8</f>
        <v/>
      </c>
      <c r="L8" s="10">
        <f>IFERROR(K8/D8,0)</f>
        <v/>
      </c>
      <c r="M8" s="13">
        <f>IFERROR(K8/C8,0)</f>
        <v/>
      </c>
      <c r="N8" s="10">
        <f>IFERROR(H8/(C8+H8),0)</f>
        <v/>
      </c>
    </row>
    <row r="9">
      <c r="A9" s="5" t="inlineStr">
        <is>
          <t>BKK_Ladprao</t>
        </is>
      </c>
      <c r="B9" s="5" t="inlineStr">
        <is>
          <t>Watermelon</t>
        </is>
      </c>
      <c r="C9" s="11" t="n">
        <v>36306</v>
      </c>
      <c r="D9" s="11" t="n">
        <v>1601789.85</v>
      </c>
      <c r="E9" s="11" t="n">
        <v>440591.265</v>
      </c>
      <c r="F9" s="11" t="n">
        <v>279789.52</v>
      </c>
      <c r="G9" s="11" t="n">
        <v>399366</v>
      </c>
      <c r="H9" s="11" t="n">
        <v>1814.944903581267</v>
      </c>
      <c r="I9" s="11" t="n">
        <v>24895.75509641873</v>
      </c>
      <c r="J9" s="7">
        <f>D9-E9-F9-G9</f>
        <v/>
      </c>
      <c r="K9" s="7">
        <f>J9-I9</f>
        <v/>
      </c>
      <c r="L9" s="10">
        <f>IFERROR(K9/D9,0)</f>
        <v/>
      </c>
      <c r="M9" s="13">
        <f>IFERROR(K9/C9,0)</f>
        <v/>
      </c>
      <c r="N9" s="10">
        <f>IFERROR(H9/(C9+H9),0)</f>
        <v/>
      </c>
    </row>
    <row r="10">
      <c r="A10" s="5" t="inlineStr">
        <is>
          <t>BKK_Sukhumvit</t>
        </is>
      </c>
      <c r="B10" s="5" t="inlineStr">
        <is>
          <t>Guava</t>
        </is>
      </c>
      <c r="C10" s="11" t="n">
        <v>25045</v>
      </c>
      <c r="D10" s="11" t="n">
        <v>1204850.22</v>
      </c>
      <c r="E10" s="11" t="n">
        <v>329389.515</v>
      </c>
      <c r="F10" s="11" t="n">
        <v>233300.7</v>
      </c>
      <c r="G10" s="11" t="n">
        <v>288017.5</v>
      </c>
      <c r="H10" s="11" t="n">
        <v>1327.272727272727</v>
      </c>
      <c r="I10" s="11" t="n">
        <v>20310.66129476584</v>
      </c>
      <c r="J10" s="7">
        <f>D10-E10-F10-G10</f>
        <v/>
      </c>
      <c r="K10" s="7">
        <f>J10-I10</f>
        <v/>
      </c>
      <c r="L10" s="10">
        <f>IFERROR(K10/D10,0)</f>
        <v/>
      </c>
      <c r="M10" s="13">
        <f>IFERROR(K10/C10,0)</f>
        <v/>
      </c>
      <c r="N10" s="10">
        <f>IFERROR(H10/(C10+H10),0)</f>
        <v/>
      </c>
    </row>
    <row r="11">
      <c r="A11" s="5" t="inlineStr">
        <is>
          <t>BKK_Sukhumvit</t>
        </is>
      </c>
      <c r="B11" s="5" t="inlineStr">
        <is>
          <t>MixedBerryPremium</t>
        </is>
      </c>
      <c r="C11" s="11" t="n">
        <v>6903</v>
      </c>
      <c r="D11" s="11" t="n">
        <v>600264.0600000001</v>
      </c>
      <c r="E11" s="11" t="n">
        <v>163175.5548</v>
      </c>
      <c r="F11" s="11" t="n">
        <v>264236.45</v>
      </c>
      <c r="G11" s="11" t="n">
        <v>103545</v>
      </c>
      <c r="H11" s="11" t="n">
        <v>1630</v>
      </c>
      <c r="I11" s="11" t="n">
        <v>75154.64</v>
      </c>
      <c r="J11" s="7">
        <f>D11-E11-F11-G11</f>
        <v/>
      </c>
      <c r="K11" s="7">
        <f>J11-I11</f>
        <v/>
      </c>
      <c r="L11" s="10">
        <f>IFERROR(K11/D11,0)</f>
        <v/>
      </c>
      <c r="M11" s="13">
        <f>IFERROR(K11/C11,0)</f>
        <v/>
      </c>
      <c r="N11" s="10">
        <f>IFERROR(H11/(C11+H11),0)</f>
        <v/>
      </c>
    </row>
    <row r="12">
      <c r="A12" s="5" t="inlineStr">
        <is>
          <t>BKK_Sukhumvit</t>
        </is>
      </c>
      <c r="B12" s="5" t="inlineStr">
        <is>
          <t>PassionFruit</t>
        </is>
      </c>
      <c r="C12" s="11" t="n">
        <v>20057</v>
      </c>
      <c r="D12" s="11" t="n">
        <v>1280316.7</v>
      </c>
      <c r="E12" s="11" t="n">
        <v>350082.603</v>
      </c>
      <c r="F12" s="11" t="n">
        <v>408938.36</v>
      </c>
      <c r="G12" s="11" t="n">
        <v>240684</v>
      </c>
      <c r="H12" s="11" t="n">
        <v>1753</v>
      </c>
      <c r="I12" s="11" t="n">
        <v>46488</v>
      </c>
      <c r="J12" s="7">
        <f>D12-E12-F12-G12</f>
        <v/>
      </c>
      <c r="K12" s="7">
        <f>J12-I12</f>
        <v/>
      </c>
      <c r="L12" s="10">
        <f>IFERROR(K12/D12,0)</f>
        <v/>
      </c>
      <c r="M12" s="13">
        <f>IFERROR(K12/C12,0)</f>
        <v/>
      </c>
      <c r="N12" s="10">
        <f>IFERROR(H12/(C12+H12),0)</f>
        <v/>
      </c>
    </row>
    <row r="13">
      <c r="A13" s="5" t="inlineStr">
        <is>
          <t>BKK_Sukhumvit</t>
        </is>
      </c>
      <c r="B13" s="5" t="inlineStr">
        <is>
          <t>Pineapple</t>
        </is>
      </c>
      <c r="C13" s="11" t="n">
        <v>40239</v>
      </c>
      <c r="D13" s="11" t="n">
        <v>1939119.14</v>
      </c>
      <c r="E13" s="11" t="n">
        <v>526608.831</v>
      </c>
      <c r="F13" s="11" t="n">
        <v>377975.09</v>
      </c>
      <c r="G13" s="11" t="n">
        <v>442629</v>
      </c>
      <c r="H13" s="11" t="n">
        <v>1633</v>
      </c>
      <c r="I13" s="11" t="n">
        <v>25122.25</v>
      </c>
      <c r="J13" s="7">
        <f>D13-E13-F13-G13</f>
        <v/>
      </c>
      <c r="K13" s="7">
        <f>J13-I13</f>
        <v/>
      </c>
      <c r="L13" s="10">
        <f>IFERROR(K13/D13,0)</f>
        <v/>
      </c>
      <c r="M13" s="13">
        <f>IFERROR(K13/C13,0)</f>
        <v/>
      </c>
      <c r="N13" s="10">
        <f>IFERROR(H13/(C13+H13),0)</f>
        <v/>
      </c>
    </row>
    <row r="14">
      <c r="A14" s="5" t="inlineStr">
        <is>
          <t>BKK_Sukhumvit</t>
        </is>
      </c>
      <c r="B14" s="5" t="inlineStr">
        <is>
          <t>Watermelon</t>
        </is>
      </c>
      <c r="C14" s="11" t="n">
        <v>60657</v>
      </c>
      <c r="D14" s="11" t="n">
        <v>2678107.05</v>
      </c>
      <c r="E14" s="11" t="n">
        <v>732432.942</v>
      </c>
      <c r="F14" s="11" t="n">
        <v>467579.61</v>
      </c>
      <c r="G14" s="11" t="n">
        <v>667227</v>
      </c>
      <c r="H14" s="11" t="n">
        <v>1918</v>
      </c>
      <c r="I14" s="11" t="n">
        <v>26326.25</v>
      </c>
      <c r="J14" s="7">
        <f>D14-E14-F14-G14</f>
        <v/>
      </c>
      <c r="K14" s="7">
        <f>J14-I14</f>
        <v/>
      </c>
      <c r="L14" s="10">
        <f>IFERROR(K14/D14,0)</f>
        <v/>
      </c>
      <c r="M14" s="13">
        <f>IFERROR(K14/C14,0)</f>
        <v/>
      </c>
      <c r="N14" s="10">
        <f>IFERROR(H14/(C14+H14),0)</f>
        <v/>
      </c>
    </row>
    <row r="15">
      <c r="A15" s="5" t="inlineStr">
        <is>
          <t>Pattaya_Beach</t>
        </is>
      </c>
      <c r="B15" s="5" t="inlineStr">
        <is>
          <t>Guava</t>
        </is>
      </c>
      <c r="C15" s="11" t="n">
        <v>28132</v>
      </c>
      <c r="D15" s="11" t="n">
        <v>1353277.59</v>
      </c>
      <c r="E15" s="11" t="n">
        <v>372545.4516</v>
      </c>
      <c r="F15" s="11" t="n">
        <v>261914.7</v>
      </c>
      <c r="G15" s="11" t="n">
        <v>323518</v>
      </c>
      <c r="H15" s="11" t="n">
        <v>1482.06043956044</v>
      </c>
      <c r="I15" s="11" t="n">
        <v>22680.6989010989</v>
      </c>
      <c r="J15" s="7">
        <f>D15-E15-F15-G15</f>
        <v/>
      </c>
      <c r="K15" s="7">
        <f>J15-I15</f>
        <v/>
      </c>
      <c r="L15" s="10">
        <f>IFERROR(K15/D15,0)</f>
        <v/>
      </c>
      <c r="M15" s="13">
        <f>IFERROR(K15/C15,0)</f>
        <v/>
      </c>
      <c r="N15" s="10">
        <f>IFERROR(H15/(C15+H15),0)</f>
        <v/>
      </c>
    </row>
    <row r="16">
      <c r="A16" s="5" t="inlineStr">
        <is>
          <t>Pattaya_Beach</t>
        </is>
      </c>
      <c r="B16" s="5" t="inlineStr">
        <is>
          <t>MixedBerryPremium</t>
        </is>
      </c>
      <c r="C16" s="11" t="n">
        <v>7784</v>
      </c>
      <c r="D16" s="11" t="n">
        <v>677538.3100000001</v>
      </c>
      <c r="E16" s="11" t="n">
        <v>184918.593</v>
      </c>
      <c r="F16" s="11" t="n">
        <v>298526.95</v>
      </c>
      <c r="G16" s="11" t="n">
        <v>116760</v>
      </c>
      <c r="H16" s="11" t="n">
        <v>1791</v>
      </c>
      <c r="I16" s="11" t="n">
        <v>82902.37</v>
      </c>
      <c r="J16" s="7">
        <f>D16-E16-F16-G16</f>
        <v/>
      </c>
      <c r="K16" s="7">
        <f>J16-I16</f>
        <v/>
      </c>
      <c r="L16" s="10">
        <f>IFERROR(K16/D16,0)</f>
        <v/>
      </c>
      <c r="M16" s="13">
        <f>IFERROR(K16/C16,0)</f>
        <v/>
      </c>
      <c r="N16" s="10">
        <f>IFERROR(H16/(C16+H16),0)</f>
        <v/>
      </c>
    </row>
    <row r="17">
      <c r="A17" s="5" t="inlineStr">
        <is>
          <t>Pattaya_Beach</t>
        </is>
      </c>
      <c r="B17" s="5" t="inlineStr">
        <is>
          <t>PassionFruit</t>
        </is>
      </c>
      <c r="C17" s="11" t="n">
        <v>22655</v>
      </c>
      <c r="D17" s="11" t="n">
        <v>1446184.35</v>
      </c>
      <c r="E17" s="11" t="n">
        <v>396579.339</v>
      </c>
      <c r="F17" s="11" t="n">
        <v>462566.15</v>
      </c>
      <c r="G17" s="11" t="n">
        <v>271860</v>
      </c>
      <c r="H17" s="11" t="n">
        <v>2018.53021978022</v>
      </c>
      <c r="I17" s="11" t="n">
        <v>53544.60755494505</v>
      </c>
      <c r="J17" s="7">
        <f>D17-E17-F17-G17</f>
        <v/>
      </c>
      <c r="K17" s="7">
        <f>J17-I17</f>
        <v/>
      </c>
      <c r="L17" s="10">
        <f>IFERROR(K17/D17,0)</f>
        <v/>
      </c>
      <c r="M17" s="13">
        <f>IFERROR(K17/C17,0)</f>
        <v/>
      </c>
      <c r="N17" s="10">
        <f>IFERROR(H17/(C17+H17),0)</f>
        <v/>
      </c>
    </row>
    <row r="18">
      <c r="A18" s="5" t="inlineStr">
        <is>
          <t>Pattaya_Beach</t>
        </is>
      </c>
      <c r="B18" s="5" t="inlineStr">
        <is>
          <t>Pineapple</t>
        </is>
      </c>
      <c r="C18" s="11" t="n">
        <v>44942</v>
      </c>
      <c r="D18" s="11" t="n">
        <v>2165443.28</v>
      </c>
      <c r="E18" s="11" t="n">
        <v>596208.4212</v>
      </c>
      <c r="F18" s="11" t="n">
        <v>421793.16</v>
      </c>
      <c r="G18" s="11" t="n">
        <v>494362</v>
      </c>
      <c r="H18" s="11" t="n">
        <v>1862</v>
      </c>
      <c r="I18" s="11" t="n">
        <v>28664.04</v>
      </c>
      <c r="J18" s="7">
        <f>D18-E18-F18-G18</f>
        <v/>
      </c>
      <c r="K18" s="7">
        <f>J18-I18</f>
        <v/>
      </c>
      <c r="L18" s="10">
        <f>IFERROR(K18/D18,0)</f>
        <v/>
      </c>
      <c r="M18" s="13">
        <f>IFERROR(K18/C18,0)</f>
        <v/>
      </c>
      <c r="N18" s="10">
        <f>IFERROR(H18/(C18+H18),0)</f>
        <v/>
      </c>
    </row>
    <row r="19">
      <c r="A19" s="5" t="inlineStr">
        <is>
          <t>Pattaya_Beach</t>
        </is>
      </c>
      <c r="B19" s="5" t="inlineStr">
        <is>
          <t>Watermelon</t>
        </is>
      </c>
      <c r="C19" s="11" t="n">
        <v>67926</v>
      </c>
      <c r="D19" s="11" t="n">
        <v>2997063.9</v>
      </c>
      <c r="E19" s="11" t="n">
        <v>818435.205</v>
      </c>
      <c r="F19" s="11" t="n">
        <v>523484.42</v>
      </c>
      <c r="G19" s="11" t="n">
        <v>747186</v>
      </c>
      <c r="H19" s="11" t="n">
        <v>2085</v>
      </c>
      <c r="I19" s="11" t="n">
        <v>28627.62</v>
      </c>
      <c r="J19" s="7">
        <f>D19-E19-F19-G19</f>
        <v/>
      </c>
      <c r="K19" s="7">
        <f>J19-I19</f>
        <v/>
      </c>
      <c r="L19" s="10">
        <f>IFERROR(K19/D19,0)</f>
        <v/>
      </c>
      <c r="M19" s="13">
        <f>IFERROR(K19/C19,0)</f>
        <v/>
      </c>
      <c r="N19" s="10">
        <f>IFERROR(H19/(C19+H19),0)</f>
        <v/>
      </c>
    </row>
    <row r="20">
      <c r="A20" s="5" t="inlineStr">
        <is>
          <t>Pattaya_Central</t>
        </is>
      </c>
      <c r="B20" s="5" t="inlineStr">
        <is>
          <t>Guava</t>
        </is>
      </c>
      <c r="C20" s="11" t="n">
        <v>33186</v>
      </c>
      <c r="D20" s="11" t="n">
        <v>1596940.87</v>
      </c>
      <c r="E20" s="11" t="n">
        <v>436361.5914</v>
      </c>
      <c r="F20" s="11" t="n">
        <v>308883.27</v>
      </c>
      <c r="G20" s="11" t="n">
        <v>381639</v>
      </c>
      <c r="H20" s="11" t="n">
        <v>1752</v>
      </c>
      <c r="I20" s="11" t="n">
        <v>26823.69</v>
      </c>
      <c r="J20" s="7">
        <f>D20-E20-F20-G20</f>
        <v/>
      </c>
      <c r="K20" s="7">
        <f>J20-I20</f>
        <v/>
      </c>
      <c r="L20" s="10">
        <f>IFERROR(K20/D20,0)</f>
        <v/>
      </c>
      <c r="M20" s="13">
        <f>IFERROR(K20/C20,0)</f>
        <v/>
      </c>
      <c r="N20" s="10">
        <f>IFERROR(H20/(C20+H20),0)</f>
        <v/>
      </c>
    </row>
    <row r="21">
      <c r="A21" s="5" t="inlineStr">
        <is>
          <t>Pattaya_Central</t>
        </is>
      </c>
      <c r="B21" s="5" t="inlineStr">
        <is>
          <t>MixedBerryPremium</t>
        </is>
      </c>
      <c r="C21" s="11" t="n">
        <v>9194</v>
      </c>
      <c r="D21" s="11" t="n">
        <v>799696.15</v>
      </c>
      <c r="E21" s="11" t="n">
        <v>216890.4546</v>
      </c>
      <c r="F21" s="11" t="n">
        <v>351943.66</v>
      </c>
      <c r="G21" s="11" t="n">
        <v>137910</v>
      </c>
      <c r="H21" s="11" t="n">
        <v>2075</v>
      </c>
      <c r="I21" s="11" t="n">
        <v>95980.31</v>
      </c>
      <c r="J21" s="7">
        <f>D21-E21-F21-G21</f>
        <v/>
      </c>
      <c r="K21" s="7">
        <f>J21-I21</f>
        <v/>
      </c>
      <c r="L21" s="10">
        <f>IFERROR(K21/D21,0)</f>
        <v/>
      </c>
      <c r="M21" s="13">
        <f>IFERROR(K21/C21,0)</f>
        <v/>
      </c>
      <c r="N21" s="10">
        <f>IFERROR(H21/(C21+H21),0)</f>
        <v/>
      </c>
    </row>
    <row r="22">
      <c r="A22" s="5" t="inlineStr">
        <is>
          <t>Pattaya_Central</t>
        </is>
      </c>
      <c r="B22" s="5" t="inlineStr">
        <is>
          <t>PassionFruit</t>
        </is>
      </c>
      <c r="C22" s="11" t="n">
        <v>26821</v>
      </c>
      <c r="D22" s="11" t="n">
        <v>1711054.15</v>
      </c>
      <c r="E22" s="11" t="n">
        <v>470711.748</v>
      </c>
      <c r="F22" s="11" t="n">
        <v>546349.0699999999</v>
      </c>
      <c r="G22" s="11" t="n">
        <v>321852</v>
      </c>
      <c r="H22" s="11" t="n">
        <v>2368</v>
      </c>
      <c r="I22" s="11" t="n">
        <v>62387.42</v>
      </c>
      <c r="J22" s="7">
        <f>D22-E22-F22-G22</f>
        <v/>
      </c>
      <c r="K22" s="7">
        <f>J22-I22</f>
        <v/>
      </c>
      <c r="L22" s="10">
        <f>IFERROR(K22/D22,0)</f>
        <v/>
      </c>
      <c r="M22" s="13">
        <f>IFERROR(K22/C22,0)</f>
        <v/>
      </c>
      <c r="N22" s="10">
        <f>IFERROR(H22/(C22+H22),0)</f>
        <v/>
      </c>
    </row>
    <row r="23">
      <c r="A23" s="5" t="inlineStr">
        <is>
          <t>Pattaya_Central</t>
        </is>
      </c>
      <c r="B23" s="5" t="inlineStr">
        <is>
          <t>Pineapple</t>
        </is>
      </c>
      <c r="C23" s="11" t="n">
        <v>53054</v>
      </c>
      <c r="D23" s="11" t="n">
        <v>2557599.1</v>
      </c>
      <c r="E23" s="11" t="n">
        <v>698741.9796</v>
      </c>
      <c r="F23" s="11" t="n">
        <v>498442.49</v>
      </c>
      <c r="G23" s="11" t="n">
        <v>583594</v>
      </c>
      <c r="H23" s="11" t="n">
        <v>2265</v>
      </c>
      <c r="I23" s="11" t="n">
        <v>34863.18</v>
      </c>
      <c r="J23" s="7">
        <f>D23-E23-F23-G23</f>
        <v/>
      </c>
      <c r="K23" s="7">
        <f>J23-I23</f>
        <v/>
      </c>
      <c r="L23" s="10">
        <f>IFERROR(K23/D23,0)</f>
        <v/>
      </c>
      <c r="M23" s="13">
        <f>IFERROR(K23/C23,0)</f>
        <v/>
      </c>
      <c r="N23" s="10">
        <f>IFERROR(H23/(C23+H23),0)</f>
        <v/>
      </c>
    </row>
    <row r="24">
      <c r="A24" s="5" t="inlineStr">
        <is>
          <t>Pattaya_Central</t>
        </is>
      </c>
      <c r="B24" s="5" t="inlineStr">
        <is>
          <t>Watermelon</t>
        </is>
      </c>
      <c r="C24" s="11" t="n">
        <v>80102</v>
      </c>
      <c r="D24" s="11" t="n">
        <v>3535734.6</v>
      </c>
      <c r="E24" s="11" t="n">
        <v>963945.279</v>
      </c>
      <c r="F24" s="11" t="n">
        <v>617261.74</v>
      </c>
      <c r="G24" s="11" t="n">
        <v>881122</v>
      </c>
      <c r="H24" s="11" t="n">
        <v>2474</v>
      </c>
      <c r="I24" s="11" t="n">
        <v>33896.41</v>
      </c>
      <c r="J24" s="7">
        <f>D24-E24-F24-G24</f>
        <v/>
      </c>
      <c r="K24" s="7">
        <f>J24-I24</f>
        <v/>
      </c>
      <c r="L24" s="10">
        <f>IFERROR(K24/D24,0)</f>
        <v/>
      </c>
      <c r="M24" s="13">
        <f>IFERROR(K24/C24,0)</f>
        <v/>
      </c>
      <c r="N24" s="10">
        <f>IFERROR(H24/(C24+H24),0)</f>
        <v/>
      </c>
    </row>
    <row r="25">
      <c r="A25" s="8" t="inlineStr">
        <is>
          <t>Total</t>
        </is>
      </c>
      <c r="C25" s="9">
        <f>SUM(C5:C24)</f>
        <v/>
      </c>
      <c r="D25" s="9">
        <f>SUM(D5:D24)</f>
        <v/>
      </c>
      <c r="E25" s="9">
        <f>SUM(E5:E24)</f>
        <v/>
      </c>
      <c r="F25" s="9">
        <f>SUM(F5:F24)</f>
        <v/>
      </c>
      <c r="G25" s="9">
        <f>SUM(G5:G24)</f>
        <v/>
      </c>
      <c r="H25" s="9">
        <f>SUM(H5:H24)</f>
        <v/>
      </c>
      <c r="I25" s="9">
        <f>SUM(I5:I24)</f>
        <v/>
      </c>
      <c r="J25" s="9">
        <f>SUM(J5:J24)</f>
        <v/>
      </c>
      <c r="K25" s="9">
        <f>SUM(K5:K24)</f>
        <v/>
      </c>
      <c r="L25" s="14">
        <f>IFERROR(K25/D25,0)</f>
        <v/>
      </c>
      <c r="M25" s="15">
        <f>IFERROR(K25/C25,0)</f>
        <v/>
      </c>
      <c r="N25" s="14">
        <f>IFERROR(H25/(C25+H25),0)</f>
        <v/>
      </c>
    </row>
    <row r="26">
      <c r="A26" s="2" t="inlineStr">
        <is>
          <t>Check: GP-C minus Company P&amp;L FY (should be 0)</t>
        </is>
      </c>
      <c r="K26" s="6">
        <f>K25-'Company P&amp;L'!N15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Actual vs budget by month, THB (GP = GP-C)</t>
        </is>
      </c>
    </row>
    <row r="2">
      <c r="A2" s="2" t="inlineStr">
        <is>
          <t>GP variance = revenue effect (revenue gap x budget margin) + margin effect (actual revenue x (actual margin - budget margin)). Check column should be 0.</t>
        </is>
      </c>
    </row>
    <row r="4">
      <c r="A4" s="12" t="inlineStr">
        <is>
          <t>Month</t>
        </is>
      </c>
      <c r="B4" s="12" t="inlineStr">
        <is>
          <t>Actual revenue</t>
        </is>
      </c>
      <c r="C4" s="12" t="inlineStr">
        <is>
          <t>Budget revenue</t>
        </is>
      </c>
      <c r="D4" s="12" t="inlineStr">
        <is>
          <t>Revenue variance</t>
        </is>
      </c>
      <c r="E4" s="12" t="inlineStr">
        <is>
          <t>Revenue variance %</t>
        </is>
      </c>
      <c r="F4" s="12" t="inlineStr">
        <is>
          <t>Actual GP</t>
        </is>
      </c>
      <c r="G4" s="12" t="inlineStr">
        <is>
          <t>Budget GP</t>
        </is>
      </c>
      <c r="H4" s="12" t="inlineStr">
        <is>
          <t>GP variance</t>
        </is>
      </c>
      <c r="I4" s="12" t="inlineStr">
        <is>
          <t>GP variance %</t>
        </is>
      </c>
      <c r="J4" s="12" t="inlineStr">
        <is>
          <t>Actual GP %</t>
        </is>
      </c>
      <c r="K4" s="12" t="inlineStr">
        <is>
          <t>Budget GP %</t>
        </is>
      </c>
      <c r="L4" s="12" t="inlineStr">
        <is>
          <t>Revenue effect</t>
        </is>
      </c>
      <c r="M4" s="12" t="inlineStr">
        <is>
          <t>Margin effect</t>
        </is>
      </c>
      <c r="N4" s="12" t="inlineStr">
        <is>
          <t>Check</t>
        </is>
      </c>
    </row>
    <row r="5">
      <c r="A5" s="5" t="inlineStr">
        <is>
          <t>2025-09</t>
        </is>
      </c>
      <c r="B5" s="6">
        <f>'Company P&amp;L'!B8</f>
        <v/>
      </c>
      <c r="C5" s="11" t="n">
        <v>2700000</v>
      </c>
      <c r="D5" s="7">
        <f>B5-C5</f>
        <v/>
      </c>
      <c r="E5" s="10">
        <f>IFERROR(D5/C5,0)</f>
        <v/>
      </c>
      <c r="F5" s="6">
        <f>'Company P&amp;L'!B15</f>
        <v/>
      </c>
      <c r="G5" s="11" t="n">
        <v>700000</v>
      </c>
      <c r="H5" s="7">
        <f>F5-G5</f>
        <v/>
      </c>
      <c r="I5" s="10">
        <f>IFERROR(H5/G5,0)</f>
        <v/>
      </c>
      <c r="J5" s="10">
        <f>IFERROR(F5/B5,0)</f>
        <v/>
      </c>
      <c r="K5" s="10">
        <f>IFERROR(G5/C5,0)</f>
        <v/>
      </c>
      <c r="L5" s="7">
        <f>D5*K5</f>
        <v/>
      </c>
      <c r="M5" s="7">
        <f>F5-B5*K5</f>
        <v/>
      </c>
      <c r="N5" s="7">
        <f>L5+M5-H5</f>
        <v/>
      </c>
    </row>
    <row r="6">
      <c r="A6" s="5" t="inlineStr">
        <is>
          <t>2025-10</t>
        </is>
      </c>
      <c r="B6" s="6">
        <f>'Company P&amp;L'!C8</f>
        <v/>
      </c>
      <c r="C6" s="11" t="n">
        <v>2700000</v>
      </c>
      <c r="D6" s="7">
        <f>B6-C6</f>
        <v/>
      </c>
      <c r="E6" s="10">
        <f>IFERROR(D6/C6,0)</f>
        <v/>
      </c>
      <c r="F6" s="6">
        <f>'Company P&amp;L'!C15</f>
        <v/>
      </c>
      <c r="G6" s="11" t="n">
        <v>700000</v>
      </c>
      <c r="H6" s="7">
        <f>F6-G6</f>
        <v/>
      </c>
      <c r="I6" s="10">
        <f>IFERROR(H6/G6,0)</f>
        <v/>
      </c>
      <c r="J6" s="10">
        <f>IFERROR(F6/B6,0)</f>
        <v/>
      </c>
      <c r="K6" s="10">
        <f>IFERROR(G6/C6,0)</f>
        <v/>
      </c>
      <c r="L6" s="7">
        <f>D6*K6</f>
        <v/>
      </c>
      <c r="M6" s="7">
        <f>F6-B6*K6</f>
        <v/>
      </c>
      <c r="N6" s="7">
        <f>L6+M6-H6</f>
        <v/>
      </c>
    </row>
    <row r="7">
      <c r="A7" s="5" t="inlineStr">
        <is>
          <t>2025-11</t>
        </is>
      </c>
      <c r="B7" s="6">
        <f>'Company P&amp;L'!D8</f>
        <v/>
      </c>
      <c r="C7" s="11" t="n">
        <v>2700000</v>
      </c>
      <c r="D7" s="7">
        <f>B7-C7</f>
        <v/>
      </c>
      <c r="E7" s="10">
        <f>IFERROR(D7/C7,0)</f>
        <v/>
      </c>
      <c r="F7" s="6">
        <f>'Company P&amp;L'!D15</f>
        <v/>
      </c>
      <c r="G7" s="11" t="n">
        <v>700000</v>
      </c>
      <c r="H7" s="7">
        <f>F7-G7</f>
        <v/>
      </c>
      <c r="I7" s="10">
        <f>IFERROR(H7/G7,0)</f>
        <v/>
      </c>
      <c r="J7" s="10">
        <f>IFERROR(F7/B7,0)</f>
        <v/>
      </c>
      <c r="K7" s="10">
        <f>IFERROR(G7/C7,0)</f>
        <v/>
      </c>
      <c r="L7" s="7">
        <f>D7*K7</f>
        <v/>
      </c>
      <c r="M7" s="7">
        <f>F7-B7*K7</f>
        <v/>
      </c>
      <c r="N7" s="7">
        <f>L7+M7-H7</f>
        <v/>
      </c>
    </row>
    <row r="8">
      <c r="A8" s="5" t="inlineStr">
        <is>
          <t>2025-12</t>
        </is>
      </c>
      <c r="B8" s="6">
        <f>'Company P&amp;L'!E8</f>
        <v/>
      </c>
      <c r="C8" s="11" t="n">
        <v>2700000</v>
      </c>
      <c r="D8" s="7">
        <f>B8-C8</f>
        <v/>
      </c>
      <c r="E8" s="10">
        <f>IFERROR(D8/C8,0)</f>
        <v/>
      </c>
      <c r="F8" s="6">
        <f>'Company P&amp;L'!E15</f>
        <v/>
      </c>
      <c r="G8" s="11" t="n">
        <v>700000</v>
      </c>
      <c r="H8" s="7">
        <f>F8-G8</f>
        <v/>
      </c>
      <c r="I8" s="10">
        <f>IFERROR(H8/G8,0)</f>
        <v/>
      </c>
      <c r="J8" s="10">
        <f>IFERROR(F8/B8,0)</f>
        <v/>
      </c>
      <c r="K8" s="10">
        <f>IFERROR(G8/C8,0)</f>
        <v/>
      </c>
      <c r="L8" s="7">
        <f>D8*K8</f>
        <v/>
      </c>
      <c r="M8" s="7">
        <f>F8-B8*K8</f>
        <v/>
      </c>
      <c r="N8" s="7">
        <f>L8+M8-H8</f>
        <v/>
      </c>
    </row>
    <row r="9">
      <c r="A9" s="5" t="inlineStr">
        <is>
          <t>2026-01</t>
        </is>
      </c>
      <c r="B9" s="6">
        <f>'Company P&amp;L'!F8</f>
        <v/>
      </c>
      <c r="C9" s="11" t="n">
        <v>2700000</v>
      </c>
      <c r="D9" s="7">
        <f>B9-C9</f>
        <v/>
      </c>
      <c r="E9" s="10">
        <f>IFERROR(D9/C9,0)</f>
        <v/>
      </c>
      <c r="F9" s="6">
        <f>'Company P&amp;L'!F15</f>
        <v/>
      </c>
      <c r="G9" s="11" t="n">
        <v>700000</v>
      </c>
      <c r="H9" s="7">
        <f>F9-G9</f>
        <v/>
      </c>
      <c r="I9" s="10">
        <f>IFERROR(H9/G9,0)</f>
        <v/>
      </c>
      <c r="J9" s="10">
        <f>IFERROR(F9/B9,0)</f>
        <v/>
      </c>
      <c r="K9" s="10">
        <f>IFERROR(G9/C9,0)</f>
        <v/>
      </c>
      <c r="L9" s="7">
        <f>D9*K9</f>
        <v/>
      </c>
      <c r="M9" s="7">
        <f>F9-B9*K9</f>
        <v/>
      </c>
      <c r="N9" s="7">
        <f>L9+M9-H9</f>
        <v/>
      </c>
    </row>
    <row r="10">
      <c r="A10" s="5" t="inlineStr">
        <is>
          <t>2026-02</t>
        </is>
      </c>
      <c r="B10" s="6">
        <f>'Company P&amp;L'!G8</f>
        <v/>
      </c>
      <c r="C10" s="11" t="n">
        <v>2700000</v>
      </c>
      <c r="D10" s="7">
        <f>B10-C10</f>
        <v/>
      </c>
      <c r="E10" s="10">
        <f>IFERROR(D10/C10,0)</f>
        <v/>
      </c>
      <c r="F10" s="6">
        <f>'Company P&amp;L'!G15</f>
        <v/>
      </c>
      <c r="G10" s="11" t="n">
        <v>700000</v>
      </c>
      <c r="H10" s="7">
        <f>F10-G10</f>
        <v/>
      </c>
      <c r="I10" s="10">
        <f>IFERROR(H10/G10,0)</f>
        <v/>
      </c>
      <c r="J10" s="10">
        <f>IFERROR(F10/B10,0)</f>
        <v/>
      </c>
      <c r="K10" s="10">
        <f>IFERROR(G10/C10,0)</f>
        <v/>
      </c>
      <c r="L10" s="7">
        <f>D10*K10</f>
        <v/>
      </c>
      <c r="M10" s="7">
        <f>F10-B10*K10</f>
        <v/>
      </c>
      <c r="N10" s="7">
        <f>L10+M10-H10</f>
        <v/>
      </c>
    </row>
    <row r="11">
      <c r="A11" s="5" t="inlineStr">
        <is>
          <t>2026-03</t>
        </is>
      </c>
      <c r="B11" s="6">
        <f>'Company P&amp;L'!H8</f>
        <v/>
      </c>
      <c r="C11" s="11" t="n">
        <v>2700000</v>
      </c>
      <c r="D11" s="7">
        <f>B11-C11</f>
        <v/>
      </c>
      <c r="E11" s="10">
        <f>IFERROR(D11/C11,0)</f>
        <v/>
      </c>
      <c r="F11" s="6">
        <f>'Company P&amp;L'!H15</f>
        <v/>
      </c>
      <c r="G11" s="11" t="n">
        <v>700000</v>
      </c>
      <c r="H11" s="7">
        <f>F11-G11</f>
        <v/>
      </c>
      <c r="I11" s="10">
        <f>IFERROR(H11/G11,0)</f>
        <v/>
      </c>
      <c r="J11" s="10">
        <f>IFERROR(F11/B11,0)</f>
        <v/>
      </c>
      <c r="K11" s="10">
        <f>IFERROR(G11/C11,0)</f>
        <v/>
      </c>
      <c r="L11" s="7">
        <f>D11*K11</f>
        <v/>
      </c>
      <c r="M11" s="7">
        <f>F11-B11*K11</f>
        <v/>
      </c>
      <c r="N11" s="7">
        <f>L11+M11-H11</f>
        <v/>
      </c>
    </row>
    <row r="12">
      <c r="A12" s="5" t="inlineStr">
        <is>
          <t>2026-04</t>
        </is>
      </c>
      <c r="B12" s="6">
        <f>'Company P&amp;L'!I8</f>
        <v/>
      </c>
      <c r="C12" s="11" t="n">
        <v>2700000</v>
      </c>
      <c r="D12" s="7">
        <f>B12-C12</f>
        <v/>
      </c>
      <c r="E12" s="10">
        <f>IFERROR(D12/C12,0)</f>
        <v/>
      </c>
      <c r="F12" s="6">
        <f>'Company P&amp;L'!I15</f>
        <v/>
      </c>
      <c r="G12" s="11" t="n">
        <v>700000</v>
      </c>
      <c r="H12" s="7">
        <f>F12-G12</f>
        <v/>
      </c>
      <c r="I12" s="10">
        <f>IFERROR(H12/G12,0)</f>
        <v/>
      </c>
      <c r="J12" s="10">
        <f>IFERROR(F12/B12,0)</f>
        <v/>
      </c>
      <c r="K12" s="10">
        <f>IFERROR(G12/C12,0)</f>
        <v/>
      </c>
      <c r="L12" s="7">
        <f>D12*K12</f>
        <v/>
      </c>
      <c r="M12" s="7">
        <f>F12-B12*K12</f>
        <v/>
      </c>
      <c r="N12" s="7">
        <f>L12+M12-H12</f>
        <v/>
      </c>
    </row>
    <row r="13">
      <c r="A13" s="5" t="inlineStr">
        <is>
          <t>2026-05</t>
        </is>
      </c>
      <c r="B13" s="6">
        <f>'Company P&amp;L'!J8</f>
        <v/>
      </c>
      <c r="C13" s="11" t="n">
        <v>2700000</v>
      </c>
      <c r="D13" s="7">
        <f>B13-C13</f>
        <v/>
      </c>
      <c r="E13" s="10">
        <f>IFERROR(D13/C13,0)</f>
        <v/>
      </c>
      <c r="F13" s="6">
        <f>'Company P&amp;L'!J15</f>
        <v/>
      </c>
      <c r="G13" s="11" t="n">
        <v>700000</v>
      </c>
      <c r="H13" s="7">
        <f>F13-G13</f>
        <v/>
      </c>
      <c r="I13" s="10">
        <f>IFERROR(H13/G13,0)</f>
        <v/>
      </c>
      <c r="J13" s="10">
        <f>IFERROR(F13/B13,0)</f>
        <v/>
      </c>
      <c r="K13" s="10">
        <f>IFERROR(G13/C13,0)</f>
        <v/>
      </c>
      <c r="L13" s="7">
        <f>D13*K13</f>
        <v/>
      </c>
      <c r="M13" s="7">
        <f>F13-B13*K13</f>
        <v/>
      </c>
      <c r="N13" s="7">
        <f>L13+M13-H13</f>
        <v/>
      </c>
    </row>
    <row r="14">
      <c r="A14" s="5" t="inlineStr">
        <is>
          <t>2026-06</t>
        </is>
      </c>
      <c r="B14" s="6">
        <f>'Company P&amp;L'!K8</f>
        <v/>
      </c>
      <c r="C14" s="11" t="n">
        <v>2700000</v>
      </c>
      <c r="D14" s="7">
        <f>B14-C14</f>
        <v/>
      </c>
      <c r="E14" s="10">
        <f>IFERROR(D14/C14,0)</f>
        <v/>
      </c>
      <c r="F14" s="6">
        <f>'Company P&amp;L'!K15</f>
        <v/>
      </c>
      <c r="G14" s="11" t="n">
        <v>700000</v>
      </c>
      <c r="H14" s="7">
        <f>F14-G14</f>
        <v/>
      </c>
      <c r="I14" s="10">
        <f>IFERROR(H14/G14,0)</f>
        <v/>
      </c>
      <c r="J14" s="10">
        <f>IFERROR(F14/B14,0)</f>
        <v/>
      </c>
      <c r="K14" s="10">
        <f>IFERROR(G14/C14,0)</f>
        <v/>
      </c>
      <c r="L14" s="7">
        <f>D14*K14</f>
        <v/>
      </c>
      <c r="M14" s="7">
        <f>F14-B14*K14</f>
        <v/>
      </c>
      <c r="N14" s="7">
        <f>L14+M14-H14</f>
        <v/>
      </c>
    </row>
    <row r="15">
      <c r="A15" s="5" t="inlineStr">
        <is>
          <t>2026-07</t>
        </is>
      </c>
      <c r="B15" s="6">
        <f>'Company P&amp;L'!L8</f>
        <v/>
      </c>
      <c r="C15" s="11" t="n">
        <v>2700000</v>
      </c>
      <c r="D15" s="7">
        <f>B15-C15</f>
        <v/>
      </c>
      <c r="E15" s="10">
        <f>IFERROR(D15/C15,0)</f>
        <v/>
      </c>
      <c r="F15" s="6">
        <f>'Company P&amp;L'!L15</f>
        <v/>
      </c>
      <c r="G15" s="11" t="n">
        <v>700000</v>
      </c>
      <c r="H15" s="7">
        <f>F15-G15</f>
        <v/>
      </c>
      <c r="I15" s="10">
        <f>IFERROR(H15/G15,0)</f>
        <v/>
      </c>
      <c r="J15" s="10">
        <f>IFERROR(F15/B15,0)</f>
        <v/>
      </c>
      <c r="K15" s="10">
        <f>IFERROR(G15/C15,0)</f>
        <v/>
      </c>
      <c r="L15" s="7">
        <f>D15*K15</f>
        <v/>
      </c>
      <c r="M15" s="7">
        <f>F15-B15*K15</f>
        <v/>
      </c>
      <c r="N15" s="7">
        <f>L15+M15-H15</f>
        <v/>
      </c>
    </row>
    <row r="16">
      <c r="A16" s="5" t="inlineStr">
        <is>
          <t>2026-08</t>
        </is>
      </c>
      <c r="B16" s="6">
        <f>'Company P&amp;L'!M8</f>
        <v/>
      </c>
      <c r="C16" s="11" t="n">
        <v>2700000</v>
      </c>
      <c r="D16" s="7">
        <f>B16-C16</f>
        <v/>
      </c>
      <c r="E16" s="10">
        <f>IFERROR(D16/C16,0)</f>
        <v/>
      </c>
      <c r="F16" s="6">
        <f>'Company P&amp;L'!M15</f>
        <v/>
      </c>
      <c r="G16" s="11" t="n">
        <v>700000</v>
      </c>
      <c r="H16" s="7">
        <f>F16-G16</f>
        <v/>
      </c>
      <c r="I16" s="10">
        <f>IFERROR(H16/G16,0)</f>
        <v/>
      </c>
      <c r="J16" s="10">
        <f>IFERROR(F16/B16,0)</f>
        <v/>
      </c>
      <c r="K16" s="10">
        <f>IFERROR(G16/C16,0)</f>
        <v/>
      </c>
      <c r="L16" s="7">
        <f>D16*K16</f>
        <v/>
      </c>
      <c r="M16" s="7">
        <f>F16-B16*K16</f>
        <v/>
      </c>
      <c r="N16" s="7">
        <f>L16+M16-H16</f>
        <v/>
      </c>
    </row>
    <row r="17">
      <c r="A17" s="8" t="inlineStr">
        <is>
          <t>FY</t>
        </is>
      </c>
      <c r="B17" s="9">
        <f>SUM(B5:B16)</f>
        <v/>
      </c>
      <c r="C17" s="9">
        <f>SUM(C5:C16)</f>
        <v/>
      </c>
      <c r="D17" s="9">
        <f>B17-C17</f>
        <v/>
      </c>
      <c r="E17" s="14">
        <f>IFERROR(D17/C17,0)</f>
        <v/>
      </c>
      <c r="F17" s="9">
        <f>SUM(F5:F16)</f>
        <v/>
      </c>
      <c r="G17" s="9">
        <f>SUM(G5:G16)</f>
        <v/>
      </c>
      <c r="H17" s="9">
        <f>F17-G17</f>
        <v/>
      </c>
      <c r="I17" s="14">
        <f>IFERROR(H17/G17,0)</f>
        <v/>
      </c>
      <c r="J17" s="14">
        <f>IFERROR(F17/B17,0)</f>
        <v/>
      </c>
      <c r="K17" s="14">
        <f>IFERROR(G17/C17,0)</f>
        <v/>
      </c>
      <c r="L17" s="9">
        <f>D17*K17</f>
        <v/>
      </c>
      <c r="M17" s="9">
        <f>F17-B17*K17</f>
        <v/>
      </c>
      <c r="N17" s="9">
        <f>L17+M17-H17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Definitions and sources</t>
        </is>
      </c>
    </row>
    <row r="3">
      <c r="A3" s="8" t="inlineStr">
        <is>
          <t>Source</t>
        </is>
      </c>
      <c r="B3" s="16" t="inlineStr">
        <is>
          <t>data/raw/FruitBlend24_Intern_Case_Data.xlsx, cleaned in notebooks 01-02 (see docs/decisions.md).</t>
        </is>
      </c>
    </row>
    <row r="4">
      <c r="A4" s="8" t="inlineStr">
        <is>
          <t>Period</t>
        </is>
      </c>
      <c r="B4" s="16" t="inlineStr">
        <is>
          <t>2025-09-01 to 2026-08-31. Month = calendar month of the order date.</t>
        </is>
      </c>
    </row>
    <row r="5">
      <c r="A5" s="8" t="inlineStr">
        <is>
          <t>List revenue</t>
        </is>
      </c>
      <c r="B5" s="16" t="inlineStr">
        <is>
          <t>List price x cups. List price = base_price_thb in cost_assumptions.</t>
        </is>
      </c>
    </row>
    <row r="6">
      <c r="A6" s="8" t="inlineStr">
        <is>
          <t>Discount</t>
        </is>
      </c>
      <c r="B6" s="16" t="inlineStr">
        <is>
          <t>List revenue - gross revenue (promo codes RC101, RC102, RC103).</t>
        </is>
      </c>
    </row>
    <row r="7">
      <c r="A7" s="8" t="inlineStr">
        <is>
          <t>Gross revenue</t>
        </is>
      </c>
      <c r="B7" s="16" t="inlineStr">
        <is>
          <t>price_thb x units_sold: what the customer paid, after discount.</t>
        </is>
      </c>
    </row>
    <row r="8">
      <c r="A8" s="8" t="inlineStr">
        <is>
          <t>Commission</t>
        </is>
      </c>
      <c r="B8" s="16" t="inlineStr">
        <is>
          <t>Gross revenue x platform rate (LINE MAN 30%, Grab 24%).</t>
        </is>
      </c>
    </row>
    <row r="9">
      <c r="A9" s="8" t="inlineStr">
        <is>
          <t>Net revenue</t>
        </is>
      </c>
      <c r="B9" s="16" t="inlineStr">
        <is>
          <t>Gross revenue - commission.</t>
        </is>
      </c>
    </row>
    <row r="10">
      <c r="A10" s="8" t="inlineStr">
        <is>
          <t>Fruit cost</t>
        </is>
      </c>
      <c r="B10" s="16" t="inlineStr">
        <is>
          <t>Cups x weekly fruit cost per cup (week = Monday of the order date).</t>
        </is>
      </c>
    </row>
    <row r="11">
      <c r="A11" s="8" t="inlineStr">
        <is>
          <t>Packaging + labor</t>
        </is>
      </c>
      <c r="B11" s="16" t="inlineStr">
        <is>
          <t>Cups x packaging + labor per cup (cost_assumptions).</t>
        </is>
      </c>
    </row>
    <row r="12">
      <c r="A12" s="8" t="inlineStr">
        <is>
          <t>GP-A</t>
        </is>
      </c>
      <c r="B12" s="16" t="inlineStr">
        <is>
          <t>Gross revenue - fruit - packaging + labor (no commission, no waste). Check only.</t>
        </is>
      </c>
    </row>
    <row r="13">
      <c r="A13" s="8" t="inlineStr">
        <is>
          <t>GP-B / CM</t>
        </is>
      </c>
      <c r="B13" s="16" t="inlineStr">
        <is>
          <t>Net revenue - fruit - packaging + labor (no waste). Check only.</t>
        </is>
      </c>
    </row>
    <row r="14">
      <c r="A14" s="8" t="inlineStr">
        <is>
          <t>Gross profit (GP-C)</t>
        </is>
      </c>
      <c r="B14" s="16" t="inlineStr">
        <is>
          <t>GP-B - waste cost. Main definition: waste is a real variable cost and the budget note does not define GP.</t>
        </is>
      </c>
    </row>
    <row r="15">
      <c r="A15" s="8" t="inlineStr">
        <is>
          <t>Waste cost</t>
        </is>
      </c>
      <c r="B15" s="16" t="inlineStr">
        <is>
          <t>waste_daily est_waste_cost_thb (fruit + packaging), plus 6 filled kitchen-days and the berry launch-day cost (about 4.5k THB filled in total).</t>
        </is>
      </c>
    </row>
    <row r="16">
      <c r="A16" s="8" t="inlineStr">
        <is>
          <t>Kitchen overhead</t>
        </is>
      </c>
      <c r="B16" s="16" t="inlineStr">
        <is>
          <t>Fixed per month: Pattaya_Central 180k, Pattaya_Beach 150k, BKK_Sukhumvit 200k, BKK_Ladprao 140k. Never split to items.</t>
        </is>
      </c>
    </row>
    <row r="17">
      <c r="A17" s="8" t="inlineStr">
        <is>
          <t>Operating profit</t>
        </is>
      </c>
      <c r="B17" s="16" t="inlineStr">
        <is>
          <t>GP-C - kitchen overhead.</t>
        </is>
      </c>
    </row>
    <row r="18">
      <c r="A18" s="8" t="inlineStr">
        <is>
          <t>Budget</t>
        </is>
      </c>
      <c r="B18" s="16" t="inlineStr">
        <is>
          <t>Flat 2.7M THB revenue and 0.7M THB GP a month (25.9% margin), set at the start of the year.</t>
        </is>
      </c>
    </row>
    <row r="19">
      <c r="A19" s="8" t="inlineStr">
        <is>
          <t>Revenue effect</t>
        </is>
      </c>
      <c r="B19" s="16" t="inlineStr">
        <is>
          <t>(Actual revenue - budget revenue) x budget GP %.</t>
        </is>
      </c>
    </row>
    <row r="20">
      <c r="A20" s="8" t="inlineStr">
        <is>
          <t>Margin effect</t>
        </is>
      </c>
      <c r="B20" s="16" t="inlineStr">
        <is>
          <t>Actual revenue x (actual GP % - budget GP %) = GP - revenue x budget GP %.</t>
        </is>
      </c>
    </row>
    <row r="21">
      <c r="A21" s="8" t="inlineStr">
        <is>
          <t>Item or kitchen gap</t>
        </is>
      </c>
      <c r="B21" s="16" t="inlineStr">
        <is>
          <t>Its GP - its revenue x budget GP %. Gaps add up to the margin effect.</t>
        </is>
      </c>
    </row>
    <row r="22">
      <c r="A22" s="8" t="inlineStr">
        <is>
          <t>Colors</t>
        </is>
      </c>
      <c r="B22" s="16" t="inlineStr">
        <is>
          <t>Blue = numbers from the data. Black = formulas. Green = links to another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2026-10-10T19:48:35Z</dcterms:created>
  <dcterms:modified xsi:type="dcterms:W3CDTF">2026-10-10T19:48:35Z</dcterms:modified>
</cp:coreProperties>
</file>